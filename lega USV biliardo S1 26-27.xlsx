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one" sheetId="1" r:id="rId5"/>
    <sheet state="visible" name="Partite" sheetId="2" r:id="rId6"/>
    <sheet state="visible" name="Classifica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tc={b53c321d-0fd5-4a4e-83b9-4eb91c8d6c4c}</author>
  </authors>
  <commentList>
    <comment authorId="0" xr:uid="{b53c321d-0fd5-4a4e-83b9-4eb91c8d6c4c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 riferimento alle serate in cui un giocatore ha vinto tutte le partite
</t>
      </text>
    </comment>
  </commentList>
</comments>
</file>

<file path=xl/sharedStrings.xml><?xml version="1.0" encoding="utf-8"?>
<sst xmlns="http://schemas.openxmlformats.org/spreadsheetml/2006/main" count="466" uniqueCount="106">
  <si>
    <t>A</t>
  </si>
  <si>
    <t>B</t>
  </si>
  <si>
    <t>C</t>
  </si>
  <si>
    <t>D</t>
  </si>
  <si>
    <t>Vincitore</t>
  </si>
  <si>
    <t>Elo A</t>
  </si>
  <si>
    <t>Elo B</t>
  </si>
  <si>
    <t>Elo C</t>
  </si>
  <si>
    <t>Elo D</t>
  </si>
  <si>
    <t>Elo Team 1</t>
  </si>
  <si>
    <t>Elo Team 2</t>
  </si>
  <si>
    <t>Prob T1</t>
  </si>
  <si>
    <t>Var. Base</t>
  </si>
  <si>
    <t>Nuovo Elo A</t>
  </si>
  <si>
    <t>Nuovo Elo B</t>
  </si>
  <si>
    <t>Nuovo Elo C</t>
  </si>
  <si>
    <t>Nuovo Elo D</t>
  </si>
  <si>
    <t>LEGA ULTIMATE SCLERO VERGOGNA - BILIARDO - STAGIONE 1 (26/27)</t>
  </si>
  <si>
    <t>Posizione</t>
  </si>
  <si>
    <t>Giocatore</t>
  </si>
  <si>
    <t>Bonny</t>
  </si>
  <si>
    <t>Gae</t>
  </si>
  <si>
    <t>Francia</t>
  </si>
  <si>
    <t>Matos</t>
  </si>
  <si>
    <t>Elo Attuale</t>
  </si>
  <si>
    <t>Partite Giocate</t>
  </si>
  <si>
    <t>Vinte</t>
  </si>
  <si>
    <t>Perse</t>
  </si>
  <si>
    <t>Legenda livello</t>
  </si>
  <si>
    <t>Storico coppie</t>
  </si>
  <si>
    <t>CLASSIFICA ELO</t>
  </si>
  <si>
    <t>CLASSIFICA LIVE - TOP 10 GIOCATORI</t>
  </si>
  <si>
    <t>CLASSIFICA LIVE - TOP 10 COPPIE</t>
  </si>
  <si>
    <t>Partite</t>
  </si>
  <si>
    <t>Vittorie</t>
  </si>
  <si>
    <t>% Vittoria</t>
  </si>
  <si>
    <t>Streak attiva</t>
  </si>
  <si>
    <t>Peggiore streak</t>
  </si>
  <si>
    <t>Migliore streak</t>
  </si>
  <si>
    <t>Punti Elo</t>
  </si>
  <si>
    <t>Perfect</t>
  </si>
  <si>
    <t>1 - Senza mani</t>
  </si>
  <si>
    <t>Fatica a colpire la palla dritta, commette falli continui e segna solo per puro caso.</t>
  </si>
  <si>
    <t>Coppia</t>
  </si>
  <si>
    <t>% Vittorie</t>
  </si>
  <si>
    <t>Indice di forza</t>
  </si>
  <si>
    <t>Francia + Matos</t>
  </si>
  <si>
    <t>Vesco</t>
  </si>
  <si>
    <t>Paolo</t>
  </si>
  <si>
    <t>2 - Base</t>
  </si>
  <si>
    <t>Birra</t>
  </si>
  <si>
    <t>Imbuca tiri facili e diretti, ma ignora la forza del colpo e dove andrà a finire la bianca.</t>
  </si>
  <si>
    <t>Bonny + Gae</t>
  </si>
  <si>
    <t>Birra + Gae</t>
  </si>
  <si>
    <t>3 - Intermedio</t>
  </si>
  <si>
    <t>Buona mira di base, fa scelte strategiche e comincia a posizionarsi per il tiro successivo.</t>
  </si>
  <si>
    <t>Ricky + Col</t>
  </si>
  <si>
    <t>Filli</t>
  </si>
  <si>
    <t>Matos + Filli</t>
  </si>
  <si>
    <t>Riki</t>
  </si>
  <si>
    <t>Col</t>
  </si>
  <si>
    <t>4 - Avanzato</t>
  </si>
  <si>
    <t>Capace di usare le sponde, gioca di tattica e pianifica la serie con 2-3 tiri d'anticipo.</t>
  </si>
  <si>
    <t>Paolo + Francia</t>
  </si>
  <si>
    <t>Francia + Gae</t>
  </si>
  <si>
    <t>5 - Fuoriclasse</t>
  </si>
  <si>
    <t>Controllo millimetrico dello spin e delle traiettorie complesse; può ripulire il tavolo in un unico turno.</t>
  </si>
  <si>
    <t>Vesco + Picci</t>
  </si>
  <si>
    <t>Picci</t>
  </si>
  <si>
    <t>Ricky</t>
  </si>
  <si>
    <t>Matos + Paolo</t>
  </si>
  <si>
    <t>Bonny + Feli</t>
  </si>
  <si>
    <t>Vezzo</t>
  </si>
  <si>
    <t>Legenda stili di gioco</t>
  </si>
  <si>
    <t>Matos + Gae</t>
  </si>
  <si>
    <t>Feli</t>
  </si>
  <si>
    <t>Spara e spera</t>
  </si>
  <si>
    <t>Tira a tutta forza senza pensare alla posizione, sperando che qualcosa finisca in buca.</t>
  </si>
  <si>
    <t>Filli + Paolo</t>
  </si>
  <si>
    <t>Vesco + Bonny</t>
  </si>
  <si>
    <t>Strategico</t>
  </si>
  <si>
    <t>Studia ogni angolo con calma, pianifica la serie e preferisce la precisione alla potenza.</t>
  </si>
  <si>
    <t>Gae + Filli</t>
  </si>
  <si>
    <t>Paolo + Ricky</t>
  </si>
  <si>
    <t>Aggressivo</t>
  </si>
  <si>
    <t>Attacca sempre e cerca l'imbucata a ogni costo, anche su tiri quasi impossibili.</t>
  </si>
  <si>
    <t>Matos + Bonny</t>
  </si>
  <si>
    <t>Ricky + Vesco + Bonny</t>
  </si>
  <si>
    <t>Difensivo</t>
  </si>
  <si>
    <t>Se non ha un tiro facile, preferisce nascondere la bianca e bloccare il gioco dell'avversario.</t>
  </si>
  <si>
    <t>Francia + Vezzo</t>
  </si>
  <si>
    <t>Gae + Paolo</t>
  </si>
  <si>
    <t>Fine</t>
  </si>
  <si>
    <t>Cerca tiri difficili a più sponde, combinazioni o effetti scenografici per il gusto della giocata.</t>
  </si>
  <si>
    <t>Vesco + Matos</t>
  </si>
  <si>
    <t>Paolo + Bonny</t>
  </si>
  <si>
    <t>Istintivo</t>
  </si>
  <si>
    <t>Tira in pochi secondi senza pensarci troppo, affidandosi puramente al colpo d'occhio.</t>
  </si>
  <si>
    <t>Filli + Francia</t>
  </si>
  <si>
    <t>Gae + Ricky</t>
  </si>
  <si>
    <t>Minimalista</t>
  </si>
  <si>
    <t>Gioca solo tiri semplici e sicuri a bassa percentuale di rischio, non tenta colpi complessi.</t>
  </si>
  <si>
    <t>Matos + Ricky</t>
  </si>
  <si>
    <t>Bonny + Vezzo</t>
  </si>
  <si>
    <t>Sculato</t>
  </si>
  <si>
    <t>Autoesplicativo.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</si>
</sst>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C9DAF8"/>
        <bgColor rgb="FFC9DAF8"/>
      </patternFill>
    </fill>
    <fill>
      <patternFill patternType="solid">
        <fgColor rgb="FFE7B49D"/>
        <bgColor rgb="FFE7B49D"/>
      </patternFill>
    </fill>
    <fill>
      <patternFill patternType="solid">
        <fgColor rgb="FFE8A694"/>
        <bgColor rgb="FFE8A694"/>
      </patternFill>
    </fill>
    <fill>
      <patternFill patternType="solid">
        <fgColor rgb="FFFFF2CC"/>
        <bgColor rgb="FFFFF2CC"/>
      </patternFill>
    </fill>
    <fill>
      <patternFill patternType="solid">
        <fgColor rgb="FFE99A8A"/>
        <bgColor rgb="FFE99A8A"/>
      </patternFill>
    </fill>
    <fill>
      <patternFill patternType="solid">
        <fgColor rgb="FFEB8E81"/>
        <bgColor rgb="FFEB8E81"/>
      </patternFill>
    </fill>
    <fill>
      <patternFill patternType="solid">
        <fgColor rgb="FFEC8178"/>
        <bgColor rgb="FFEC8178"/>
      </patternFill>
    </fill>
    <fill>
      <patternFill patternType="solid">
        <fgColor rgb="FFEC746F"/>
        <bgColor rgb="FFEC746F"/>
      </patternFill>
    </fill>
    <fill>
      <patternFill patternType="solid">
        <fgColor rgb="FFED6966"/>
        <bgColor rgb="FFED6966"/>
      </patternFill>
    </fill>
    <fill>
      <patternFill patternType="solid">
        <fgColor rgb="FFED5B5D"/>
        <bgColor rgb="FFED5B5D"/>
      </patternFill>
    </fill>
    <fill>
      <patternFill patternType="solid">
        <fgColor rgb="FFEE4F54"/>
        <bgColor rgb="FFEE4F54"/>
      </patternFill>
    </fill>
    <fill>
      <patternFill patternType="solid">
        <fgColor rgb="FFEF424B"/>
        <bgColor rgb="FFEF424B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2" fillId="0" fontId="3" numFmtId="0" xfId="0" applyBorder="1" applyFont="1"/>
    <xf borderId="0" fillId="0" fontId="1" numFmtId="1" xfId="0" applyAlignment="1" applyFont="1" applyNumberFormat="1">
      <alignment horizontal="left" readingOrder="0" shrinkToFit="0" vertical="center" wrapText="0"/>
    </xf>
    <xf borderId="0" fillId="0" fontId="1" numFmtId="1" xfId="0" applyFont="1" applyNumberFormat="1"/>
    <xf borderId="3" fillId="0" fontId="3" numFmtId="0" xfId="0" applyBorder="1" applyFont="1"/>
    <xf borderId="4" fillId="0" fontId="1" numFmtId="0" xfId="0" applyAlignment="1" applyBorder="1" applyFont="1">
      <alignment readingOrder="0" shrinkToFit="0" vertical="center" wrapText="0"/>
    </xf>
    <xf borderId="1" fillId="2" fontId="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4" fillId="0" fontId="1" numFmtId="1" xfId="0" applyAlignment="1" applyBorder="1" applyFont="1" applyNumberFormat="1">
      <alignment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1"/>
    </xf>
    <xf borderId="4" fillId="4" fontId="2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ill="1" applyFont="1">
      <alignment horizontal="center" readingOrder="0" shrinkToFit="0" vertical="center" wrapText="1"/>
    </xf>
    <xf borderId="4" fillId="6" fontId="2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vertical="center" wrapText="0"/>
    </xf>
    <xf borderId="4" fillId="7" fontId="2" numFmtId="0" xfId="0" applyAlignment="1" applyBorder="1" applyFill="1" applyFont="1">
      <alignment horizontal="center" readingOrder="0" shrinkToFit="0" vertical="center" wrapText="1"/>
    </xf>
    <xf borderId="4" fillId="8" fontId="2" numFmtId="0" xfId="0" applyAlignment="1" applyBorder="1" applyFill="1" applyFont="1">
      <alignment horizontal="center" readingOrder="0" shrinkToFit="0" vertical="center" wrapText="1"/>
    </xf>
    <xf borderId="4" fillId="9" fontId="2" numFmtId="0" xfId="0" applyAlignment="1" applyBorder="1" applyFill="1" applyFont="1">
      <alignment horizontal="center" readingOrder="0" shrinkToFit="0" vertical="center" wrapText="1"/>
    </xf>
    <xf borderId="4" fillId="10" fontId="2" numFmtId="0" xfId="0" applyAlignment="1" applyBorder="1" applyFill="1" applyFont="1">
      <alignment horizontal="center" readingOrder="0" shrinkToFit="0" vertical="center" wrapText="1"/>
    </xf>
    <xf borderId="4" fillId="11" fontId="2" numFmtId="0" xfId="0" applyAlignment="1" applyBorder="1" applyFill="1" applyFont="1">
      <alignment horizontal="center" readingOrder="0" shrinkToFit="0" vertical="center" wrapText="1"/>
    </xf>
    <xf borderId="5" fillId="12" fontId="1" numFmtId="0" xfId="0" applyAlignment="1" applyBorder="1" applyFill="1" applyFont="1">
      <alignment horizontal="center" readingOrder="0" shrinkToFit="0" vertical="center" wrapText="1"/>
    </xf>
    <xf borderId="6" fillId="12" fontId="1" numFmtId="0" xfId="0" applyAlignment="1" applyBorder="1" applyFill="1" applyFont="1">
      <alignment horizontal="center" readingOrder="0" shrinkToFit="0" vertical="center" wrapText="1"/>
    </xf>
    <xf borderId="7" fillId="0" fontId="3" numFmtId="0" xfId="0" applyBorder="1" applyFont="1"/>
    <xf borderId="8" fillId="0" fontId="3" numFmtId="0" xfId="0" applyBorder="1" applyFont="1"/>
    <xf borderId="1" fillId="3" fontId="1" numFmtId="0" xfId="0" applyAlignment="1" applyBorder="1" applyFill="1" applyFont="1">
      <alignment horizontal="center" readingOrder="0" shrinkToFit="0" vertical="center" wrapText="1"/>
    </xf>
    <xf borderId="4" fillId="4" fontId="1" numFmtId="0" xfId="0" applyAlignment="1" applyBorder="1" applyFill="1" applyFont="1">
      <alignment horizontal="center" readingOrder="0" shrinkToFit="0" vertical="center" wrapText="1"/>
    </xf>
    <xf borderId="4" fillId="5" fontId="1" numFmtId="0" xfId="0" applyAlignment="1" applyBorder="1" applyFill="1" applyFont="1">
      <alignment horizontal="center" readingOrder="0" shrinkToFit="0" vertical="center" wrapText="1"/>
    </xf>
    <xf borderId="0" fillId="0" fontId="1" numFmtId="2" xfId="0" applyFont="1" applyNumberFormat="1"/>
    <xf borderId="4" fillId="6" fontId="1" numFmtId="0" xfId="0" applyAlignment="1" applyBorder="1" applyFill="1" applyFont="1">
      <alignment horizontal="center" readingOrder="0" shrinkToFit="0" vertical="center" wrapText="1"/>
    </xf>
    <xf borderId="4" fillId="10" fontId="1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6" fillId="3" fontId="1" numFmtId="0" xfId="0" applyAlignment="1" applyBorder="1" applyFill="1" applyFon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readingOrder="0" shrinkToFit="0" vertical="center" wrapText="1"/>
    </xf>
    <xf borderId="5" fillId="5" fontId="1" numFmtId="0" xfId="0" applyAlignment="1" applyBorder="1" applyFill="1" applyFont="1">
      <alignment horizontal="center" readingOrder="0" shrinkToFit="0" vertical="center" wrapText="1"/>
    </xf>
    <xf borderId="5" fillId="6" fontId="1" numFmtId="0" xfId="0" applyAlignment="1" applyBorder="1" applyFill="1" applyFont="1">
      <alignment horizontal="center" shrinkToFit="0" vertical="center" wrapText="1"/>
    </xf>
    <xf borderId="5" fillId="7" fontId="1" numFmtId="0" xfId="0" applyAlignment="1" applyBorder="1" applyFill="1" applyFont="1">
      <alignment horizontal="center" readingOrder="0" shrinkToFit="0" vertical="center" wrapText="1"/>
    </xf>
    <xf borderId="5" fillId="8" fontId="1" numFmtId="0" xfId="0" applyAlignment="1" applyBorder="1" applyFill="1" applyFont="1">
      <alignment horizontal="center" readingOrder="0" shrinkToFit="0" vertical="center" wrapText="1"/>
    </xf>
    <xf borderId="5" fillId="9" fontId="1" numFmtId="0" xfId="0" applyAlignment="1" applyBorder="1" applyFill="1" applyFont="1">
      <alignment horizontal="center" readingOrder="0" shrinkToFit="0" vertical="center" wrapText="1"/>
    </xf>
    <xf borderId="5" fillId="10" fontId="1" numFmtId="0" xfId="0" applyAlignment="1" applyBorder="1" applyFill="1" applyFont="1">
      <alignment horizontal="center" readingOrder="0" shrinkToFit="0" vertical="center" wrapText="1"/>
    </xf>
    <xf borderId="5" fillId="11" fontId="1" numFmtId="0" xfId="0" applyAlignment="1" applyBorder="1" applyFill="1" applyFont="1">
      <alignment horizontal="center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4" fillId="13" fontId="5" numFmtId="0" xfId="0" applyAlignment="1" applyBorder="1" applyFill="1" applyFont="1">
      <alignment horizontal="center" readingOrder="0" vertical="center"/>
    </xf>
    <xf borderId="4" fillId="13" fontId="5" numFmtId="1" xfId="0" applyAlignment="1" applyBorder="1" applyFill="1" applyFont="1" applyNumberFormat="1">
      <alignment horizontal="center" readingOrder="0" vertical="center"/>
    </xf>
    <xf borderId="4" fillId="13" fontId="5" numFmtId="0" xfId="0" applyAlignment="1" applyBorder="1" applyFill="1" applyFont="1">
      <alignment horizontal="center" readingOrder="0" vertical="center"/>
    </xf>
    <xf borderId="4" fillId="13" fontId="5" numFmtId="0" xfId="0" applyAlignment="1" applyBorder="1" applyFill="1" applyFont="1">
      <alignment horizontal="center" vertical="center"/>
    </xf>
    <xf borderId="4" fillId="13" fontId="5" numFmtId="164" xfId="0" applyAlignment="1" applyBorder="1" applyFill="1" applyFont="1" applyNumberFormat="1">
      <alignment horizontal="center" vertical="center"/>
    </xf>
    <xf borderId="4" fillId="13" fontId="1" numFmtId="0" xfId="0" applyAlignment="1" applyBorder="1" applyFill="1" applyFont="1">
      <alignment horizontal="center"/>
    </xf>
    <xf borderId="5" fillId="14" fontId="1" numFmtId="0" xfId="0" applyAlignment="1" applyBorder="1" applyFill="1" applyFont="1">
      <alignment horizontal="center" readingOrder="0" shrinkToFit="0" vertical="center" wrapText="1"/>
    </xf>
    <xf borderId="6" fillId="14" fontId="1" numFmtId="0" xfId="0" applyAlignment="1" applyBorder="1" applyFill="1" applyFont="1">
      <alignment horizontal="center" readingOrder="0" shrinkToFit="0" vertical="center" wrapText="1"/>
    </xf>
    <xf borderId="4" fillId="15" fontId="5" numFmtId="0" xfId="0" applyAlignment="1" applyBorder="1" applyFill="1" applyFont="1">
      <alignment horizontal="center" readingOrder="0" vertical="center"/>
    </xf>
    <xf borderId="4" fillId="15" fontId="5" numFmtId="1" xfId="0" applyAlignment="1" applyBorder="1" applyFill="1" applyFont="1" applyNumberFormat="1">
      <alignment horizontal="center" readingOrder="0" vertical="center"/>
    </xf>
    <xf borderId="4" fillId="15" fontId="5" numFmtId="0" xfId="0" applyAlignment="1" applyBorder="1" applyFill="1" applyFont="1">
      <alignment horizontal="center" readingOrder="0" vertical="center"/>
    </xf>
    <xf borderId="4" fillId="15" fontId="5" numFmtId="0" xfId="0" applyAlignment="1" applyBorder="1" applyFill="1" applyFont="1">
      <alignment horizontal="center" vertical="center"/>
    </xf>
    <xf borderId="4" fillId="15" fontId="5" numFmtId="164" xfId="0" applyAlignment="1" applyBorder="1" applyFill="1" applyFont="1" applyNumberFormat="1">
      <alignment horizontal="center" vertical="center"/>
    </xf>
    <xf borderId="4" fillId="15" fontId="1" numFmtId="0" xfId="0" applyAlignment="1" applyBorder="1" applyFill="1" applyFont="1">
      <alignment horizontal="center"/>
    </xf>
    <xf borderId="4" fillId="16" fontId="5" numFmtId="0" xfId="0" applyAlignment="1" applyBorder="1" applyFill="1" applyFont="1">
      <alignment horizontal="center" readingOrder="0" vertical="center"/>
    </xf>
    <xf borderId="4" fillId="16" fontId="5" numFmtId="1" xfId="0" applyAlignment="1" applyBorder="1" applyFill="1" applyFont="1" applyNumberFormat="1">
      <alignment horizontal="center" readingOrder="0" vertical="center"/>
    </xf>
    <xf borderId="4" fillId="16" fontId="5" numFmtId="0" xfId="0" applyAlignment="1" applyBorder="1" applyFill="1" applyFont="1">
      <alignment horizontal="center" readingOrder="0" vertical="center"/>
    </xf>
    <xf borderId="4" fillId="16" fontId="5" numFmtId="0" xfId="0" applyAlignment="1" applyBorder="1" applyFill="1" applyFont="1">
      <alignment horizontal="center" vertical="center"/>
    </xf>
    <xf borderId="4" fillId="16" fontId="5" numFmtId="164" xfId="0" applyAlignment="1" applyBorder="1" applyFill="1" applyFont="1" applyNumberFormat="1">
      <alignment horizontal="center" vertical="center"/>
    </xf>
    <xf borderId="4" fillId="16" fontId="1" numFmtId="0" xfId="0" applyAlignment="1" applyBorder="1" applyFill="1" applyFont="1">
      <alignment horizontal="center"/>
    </xf>
    <xf borderId="5" fillId="17" fontId="1" numFmtId="0" xfId="0" applyAlignment="1" applyBorder="1" applyFill="1" applyFont="1">
      <alignment horizontal="center" readingOrder="0" shrinkToFit="0" vertical="center" wrapText="1"/>
    </xf>
    <xf borderId="6" fillId="17" fontId="1" numFmtId="0" xfId="0" applyAlignment="1" applyBorder="1" applyFill="1" applyFont="1">
      <alignment horizontal="center" readingOrder="0" shrinkToFit="0" vertical="center" wrapText="1"/>
    </xf>
    <xf borderId="4" fillId="18" fontId="5" numFmtId="0" xfId="0" applyAlignment="1" applyBorder="1" applyFill="1" applyFont="1">
      <alignment horizontal="center" readingOrder="0" vertical="center"/>
    </xf>
    <xf borderId="4" fillId="18" fontId="5" numFmtId="1" xfId="0" applyAlignment="1" applyBorder="1" applyFill="1" applyFont="1" applyNumberFormat="1">
      <alignment horizontal="center" readingOrder="0" vertical="center"/>
    </xf>
    <xf borderId="4" fillId="18" fontId="5" numFmtId="0" xfId="0" applyAlignment="1" applyBorder="1" applyFill="1" applyFont="1">
      <alignment horizontal="center" readingOrder="0" vertical="center"/>
    </xf>
    <xf borderId="4" fillId="18" fontId="1" numFmtId="0" xfId="0" applyAlignment="1" applyBorder="1" applyFill="1" applyFont="1">
      <alignment horizontal="center"/>
    </xf>
    <xf borderId="4" fillId="19" fontId="5" numFmtId="0" xfId="0" applyAlignment="1" applyBorder="1" applyFill="1" applyFont="1">
      <alignment horizontal="center" readingOrder="0" vertical="center"/>
    </xf>
    <xf borderId="4" fillId="19" fontId="5" numFmtId="1" xfId="0" applyAlignment="1" applyBorder="1" applyFill="1" applyFont="1" applyNumberFormat="1">
      <alignment horizontal="center" readingOrder="0" vertical="center"/>
    </xf>
    <xf borderId="4" fillId="19" fontId="5" numFmtId="0" xfId="0" applyAlignment="1" applyBorder="1" applyFill="1" applyFont="1">
      <alignment horizontal="center" readingOrder="0" vertical="center"/>
    </xf>
    <xf borderId="4" fillId="19" fontId="1" numFmtId="0" xfId="0" applyAlignment="1" applyBorder="1" applyFill="1" applyFont="1">
      <alignment horizontal="center"/>
    </xf>
    <xf borderId="5" fillId="20" fontId="1" numFmtId="0" xfId="0" applyAlignment="1" applyBorder="1" applyFill="1" applyFont="1">
      <alignment horizontal="center" readingOrder="0" shrinkToFit="0" vertical="center" wrapText="1"/>
    </xf>
    <xf borderId="6" fillId="20" fontId="1" numFmtId="0" xfId="0" applyAlignment="1" applyBorder="1" applyFill="1" applyFont="1">
      <alignment horizontal="center" readingOrder="0" shrinkToFit="0" vertical="center" wrapText="1"/>
    </xf>
    <xf borderId="4" fillId="21" fontId="5" numFmtId="0" xfId="0" applyAlignment="1" applyBorder="1" applyFill="1" applyFont="1">
      <alignment horizontal="center" readingOrder="0" vertical="center"/>
    </xf>
    <xf borderId="4" fillId="21" fontId="5" numFmtId="1" xfId="0" applyAlignment="1" applyBorder="1" applyFill="1" applyFont="1" applyNumberFormat="1">
      <alignment horizontal="center" readingOrder="0" vertical="center"/>
    </xf>
    <xf borderId="4" fillId="21" fontId="5" numFmtId="0" xfId="0" applyAlignment="1" applyBorder="1" applyFill="1" applyFont="1">
      <alignment horizontal="center" readingOrder="0" vertical="center"/>
    </xf>
    <xf borderId="4" fillId="21" fontId="1" numFmtId="0" xfId="0" applyAlignment="1" applyBorder="1" applyFill="1" applyFont="1">
      <alignment horizontal="center"/>
    </xf>
    <xf borderId="4" fillId="22" fontId="5" numFmtId="0" xfId="0" applyAlignment="1" applyBorder="1" applyFill="1" applyFont="1">
      <alignment horizontal="center" readingOrder="0" vertical="center"/>
    </xf>
    <xf borderId="4" fillId="22" fontId="5" numFmtId="1" xfId="0" applyAlignment="1" applyBorder="1" applyFill="1" applyFont="1" applyNumberFormat="1">
      <alignment horizontal="center" readingOrder="0" vertical="center"/>
    </xf>
    <xf borderId="4" fillId="22" fontId="5" numFmtId="0" xfId="0" applyAlignment="1" applyBorder="1" applyFill="1" applyFont="1">
      <alignment horizontal="center" readingOrder="0" vertical="center"/>
    </xf>
    <xf borderId="4" fillId="22" fontId="1" numFmtId="0" xfId="0" applyAlignment="1" applyBorder="1" applyFill="1" applyFont="1">
      <alignment horizontal="center"/>
    </xf>
    <xf borderId="6" fillId="8" fontId="1" numFmtId="0" xfId="0" applyAlignment="1" applyBorder="1" applyFill="1" applyFont="1">
      <alignment horizontal="center" readingOrder="0" shrinkToFit="0" vertical="center" wrapText="1"/>
    </xf>
    <xf borderId="4" fillId="23" fontId="5" numFmtId="0" xfId="0" applyAlignment="1" applyBorder="1" applyFill="1" applyFont="1">
      <alignment horizontal="center" readingOrder="0" vertical="center"/>
    </xf>
    <xf borderId="4" fillId="23" fontId="5" numFmtId="1" xfId="0" applyAlignment="1" applyBorder="1" applyFill="1" applyFont="1" applyNumberFormat="1">
      <alignment horizontal="center" readingOrder="0" vertical="center"/>
    </xf>
    <xf borderId="4" fillId="23" fontId="5" numFmtId="0" xfId="0" applyAlignment="1" applyBorder="1" applyFill="1" applyFont="1">
      <alignment horizontal="center" readingOrder="0" vertical="center"/>
    </xf>
    <xf borderId="4" fillId="23" fontId="1" numFmtId="0" xfId="0" applyAlignment="1" applyBorder="1" applyFill="1" applyFont="1">
      <alignment horizontal="center"/>
    </xf>
    <xf borderId="5" fillId="10" fontId="1" numFmtId="0" xfId="0" applyAlignment="1" applyBorder="1" applyFill="1" applyFont="1">
      <alignment horizontal="center" shrinkToFit="0" vertical="center" wrapText="1"/>
    </xf>
    <xf borderId="4" fillId="24" fontId="5" numFmtId="0" xfId="0" applyAlignment="1" applyBorder="1" applyFill="1" applyFont="1">
      <alignment horizontal="center" readingOrder="0" vertical="center"/>
    </xf>
    <xf borderId="4" fillId="24" fontId="5" numFmtId="1" xfId="0" applyAlignment="1" applyBorder="1" applyFill="1" applyFont="1" applyNumberFormat="1">
      <alignment horizontal="center" readingOrder="0" vertical="center"/>
    </xf>
    <xf borderId="4" fillId="24" fontId="5" numFmtId="0" xfId="0" applyAlignment="1" applyBorder="1" applyFill="1" applyFont="1">
      <alignment horizontal="center" readingOrder="0" vertical="center"/>
    </xf>
    <xf borderId="4" fillId="24" fontId="1" numFmtId="0" xfId="0" applyAlignment="1" applyBorder="1" applyFill="1" applyFont="1">
      <alignment horizontal="center"/>
    </xf>
    <xf borderId="4" fillId="25" fontId="5" numFmtId="0" xfId="0" applyAlignment="1" applyBorder="1" applyFill="1" applyFont="1">
      <alignment horizontal="center" readingOrder="0" vertical="center"/>
    </xf>
    <xf borderId="4" fillId="25" fontId="5" numFmtId="1" xfId="0" applyAlignment="1" applyBorder="1" applyFill="1" applyFont="1" applyNumberFormat="1">
      <alignment horizontal="center" readingOrder="0" vertical="center"/>
    </xf>
    <xf borderId="4" fillId="25" fontId="5" numFmtId="0" xfId="0" applyAlignment="1" applyBorder="1" applyFill="1" applyFont="1">
      <alignment horizontal="center" readingOrder="0" vertical="center"/>
    </xf>
    <xf borderId="4" fillId="25" fontId="1" numFmtId="0" xfId="0" applyAlignment="1" applyBorder="1" applyFill="1" applyFont="1">
      <alignment horizontal="center"/>
    </xf>
    <xf borderId="4" fillId="26" fontId="1" numFmtId="0" xfId="0" applyAlignment="1" applyBorder="1" applyFill="1" applyFont="1">
      <alignment horizontal="center" readingOrder="0"/>
    </xf>
    <xf borderId="4" fillId="26" fontId="1" numFmtId="1" xfId="0" applyAlignment="1" applyBorder="1" applyFill="1" applyFont="1" applyNumberFormat="1">
      <alignment horizontal="center" readingOrder="0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4" fillId="27" fontId="1" numFmtId="0" xfId="0" applyAlignment="1" applyBorder="1" applyFill="1" applyFont="1">
      <alignment horizontal="center" readingOrder="0"/>
    </xf>
    <xf borderId="4" fillId="27" fontId="1" numFmtId="1" xfId="0" applyAlignment="1" applyBorder="1" applyFill="1" applyFont="1" applyNumberFormat="1">
      <alignment horizontal="center" readingOrder="0"/>
    </xf>
    <xf borderId="4" fillId="28" fontId="1" numFmtId="0" xfId="0" applyAlignment="1" applyBorder="1" applyFill="1" applyFont="1">
      <alignment horizontal="center" readingOrder="0"/>
    </xf>
    <xf borderId="4" fillId="28" fontId="1" numFmtId="1" xfId="0" applyAlignment="1" applyBorder="1" applyFill="1" applyFont="1" applyNumberFormat="1">
      <alignment horizontal="center" readingOrder="0"/>
    </xf>
    <xf borderId="5" fillId="4" fontId="1" numFmtId="0" xfId="0" applyAlignment="1" applyBorder="1" applyFill="1" applyFont="1">
      <alignment horizontal="center" readingOrder="0" shrinkToFit="0" vertical="center" wrapText="1"/>
    </xf>
    <xf borderId="5" fillId="5" fontId="1" numFmtId="0" xfId="0" applyAlignment="1" applyBorder="1" applyFill="1" applyFont="1">
      <alignment horizontal="center" readingOrder="0" shrinkToFit="0" vertical="center" wrapText="1"/>
    </xf>
    <xf borderId="5" fillId="7" fontId="1" numFmtId="0" xfId="0" applyAlignment="1" applyBorder="1" applyFill="1" applyFont="1">
      <alignment horizontal="center" readingOrder="0" shrinkToFit="0" vertical="center" wrapText="1"/>
    </xf>
    <xf borderId="5" fillId="8" fontId="1" numFmtId="0" xfId="0" applyAlignment="1" applyBorder="1" applyFill="1" applyFont="1">
      <alignment horizontal="center" readingOrder="0" shrinkToFit="0" vertical="center" wrapText="1"/>
    </xf>
    <xf borderId="5" fillId="9" fontId="1" numFmtId="0" xfId="0" applyAlignment="1" applyBorder="1" applyFill="1" applyFon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5" fillId="7" fontId="1" numFmtId="0" xfId="0" applyAlignment="1" applyBorder="1" applyFill="1" applyFont="1">
      <alignment horizontal="center" shrinkToFit="0" vertical="center" wrapText="1"/>
    </xf>
    <xf borderId="5" fillId="8" fontId="1" numFmtId="0" xfId="0" applyAlignment="1" applyBorder="1" applyFill="1" applyFont="1">
      <alignment horizontal="center" shrinkToFit="0" vertical="center" wrapText="1"/>
    </xf>
    <xf borderId="5" fillId="9" fontId="1" numFmtId="0" xfId="0" applyAlignment="1" applyBorder="1" applyFill="1" applyFont="1">
      <alignment horizontal="center" shrinkToFit="0" vertical="center" wrapText="1"/>
    </xf>
    <xf borderId="5" fillId="11" fontId="1" numFmtId="0" xfId="0" applyAlignment="1" applyBorder="1" applyFill="1" applyFont="1">
      <alignment horizontal="center" shrinkToFit="0" vertical="center" wrapText="1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assific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etano Savio Citarella" id="{4308c80a-326e-4850-a1d8-aae4e3b0e69f}" providerId="google-sheets"/>
</x18tc:personList>
</file>

<file path=xl/tables/table1.xml><?xml version="1.0" encoding="utf-8"?>
<table xmlns="http://schemas.openxmlformats.org/spreadsheetml/2006/main" ref="B1:F14" displayName="Tabella_1" name="Tabella_1" id="1">
  <tableColumns count="5">
    <tableColumn name="Giocatore" id="1"/>
    <tableColumn name="Elo Attuale" id="2"/>
    <tableColumn name="Partite Giocate" id="3"/>
    <tableColumn name="Vinte" id="4"/>
    <tableColumn name="Perse" id="5"/>
  </tableColumns>
  <tableStyleInfo name="Classific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3" dT="2026-10-11T08:46:11.00" personId="{4308c80a-326e-4850-a1d8-aae4e3b0e69f}" id="{b53c321d-0fd5-4a4e-83b9-4eb91c8d6c4c}" done="0">
    <x18tc:text xml:space="preserve">fa riferimento alle serate in cui un giocatore ha vinto tutte le partite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38"/>
    <col customWidth="1" min="4" max="4" width="5.88"/>
    <col customWidth="1" min="5" max="5" width="6.38"/>
    <col customWidth="1" min="6" max="6" width="7.88"/>
    <col customWidth="1" min="7" max="7" width="10.13"/>
    <col customWidth="1" min="8" max="8" width="12.5"/>
    <col customWidth="1" min="9" max="9" width="12.0"/>
    <col customWidth="1" min="10" max="10" width="7.5"/>
    <col customWidth="1" min="11" max="11" width="6.25"/>
    <col customWidth="1" min="12" max="12" width="3.88"/>
    <col customWidth="1" min="13" max="13" width="16.5"/>
    <col customWidth="1" min="14" max="14" width="38.25"/>
    <col customWidth="1" min="17" max="17" width="3.88"/>
    <col customWidth="1" min="18" max="18" width="17.25"/>
    <col customWidth="1" min="19" max="19" width="12.63"/>
    <col customWidth="1" min="20" max="20" width="5.75"/>
    <col customWidth="1" min="21" max="21" width="6.13"/>
    <col customWidth="1" min="22" max="22" width="7.75"/>
    <col customWidth="1" min="23" max="23" width="11.63"/>
    <col customWidth="1" min="24" max="24" width="12.25"/>
    <col customWidth="1" min="25" max="25" width="3.88"/>
    <col customWidth="1" min="26" max="43" width="12.63"/>
  </cols>
  <sheetData>
    <row r="2">
      <c r="B2" s="4" t="s">
        <v>17</v>
      </c>
      <c r="C2" s="7"/>
      <c r="D2" s="7"/>
      <c r="E2" s="7"/>
      <c r="F2" s="7"/>
      <c r="G2" s="7"/>
      <c r="H2" s="7"/>
      <c r="I2" s="7"/>
      <c r="J2" s="7"/>
      <c r="K2" s="10"/>
      <c r="M2" s="4" t="s">
        <v>28</v>
      </c>
      <c r="N2" s="7"/>
      <c r="O2" s="7"/>
      <c r="P2" s="10"/>
      <c r="R2" s="4" t="s">
        <v>29</v>
      </c>
      <c r="S2" s="7"/>
      <c r="T2" s="7"/>
      <c r="U2" s="7"/>
      <c r="V2" s="7"/>
      <c r="W2" s="7"/>
      <c r="X2" s="10"/>
      <c r="Z2" s="12" t="s">
        <v>30</v>
      </c>
      <c r="AA2" s="7"/>
      <c r="AB2" s="7"/>
      <c r="AC2" s="7"/>
      <c r="AD2" s="7"/>
      <c r="AE2" s="10"/>
      <c r="AF2" s="13"/>
      <c r="AG2" s="12" t="s">
        <v>31</v>
      </c>
      <c r="AH2" s="7"/>
      <c r="AI2" s="7"/>
      <c r="AJ2" s="7"/>
      <c r="AK2" s="10"/>
      <c r="AM2" s="12" t="s">
        <v>32</v>
      </c>
      <c r="AN2" s="7"/>
      <c r="AO2" s="7"/>
      <c r="AP2" s="7"/>
      <c r="AQ2" s="10"/>
    </row>
    <row r="3">
      <c r="B3" s="15" t="s">
        <v>19</v>
      </c>
      <c r="C3" s="10"/>
      <c r="D3" s="16" t="s">
        <v>33</v>
      </c>
      <c r="E3" s="17" t="s">
        <v>34</v>
      </c>
      <c r="F3" s="18" t="s">
        <v>35</v>
      </c>
      <c r="G3" s="20" t="s">
        <v>36</v>
      </c>
      <c r="H3" s="21" t="s">
        <v>37</v>
      </c>
      <c r="I3" s="22" t="s">
        <v>38</v>
      </c>
      <c r="J3" s="23" t="s">
        <v>39</v>
      </c>
      <c r="K3" s="24" t="s">
        <v>40</v>
      </c>
      <c r="M3" s="25" t="s">
        <v>41</v>
      </c>
      <c r="N3" s="26" t="s">
        <v>42</v>
      </c>
      <c r="O3" s="27"/>
      <c r="P3" s="28"/>
      <c r="R3" s="29" t="s">
        <v>43</v>
      </c>
      <c r="S3" s="10"/>
      <c r="T3" s="30" t="s">
        <v>33</v>
      </c>
      <c r="U3" s="31" t="s">
        <v>34</v>
      </c>
      <c r="V3" s="33" t="s">
        <v>44</v>
      </c>
      <c r="W3" s="34" t="s">
        <v>38</v>
      </c>
      <c r="X3" s="34" t="s">
        <v>37</v>
      </c>
      <c r="Z3" s="35" t="s">
        <v>18</v>
      </c>
      <c r="AA3" s="35" t="s">
        <v>19</v>
      </c>
      <c r="AB3" s="35" t="s">
        <v>24</v>
      </c>
      <c r="AC3" s="35" t="s">
        <v>33</v>
      </c>
      <c r="AD3" s="35" t="s">
        <v>26</v>
      </c>
      <c r="AE3" s="35" t="s">
        <v>27</v>
      </c>
      <c r="AF3" s="36"/>
      <c r="AG3" s="37" t="s">
        <v>18</v>
      </c>
      <c r="AH3" s="37" t="s">
        <v>19</v>
      </c>
      <c r="AI3" s="37" t="s">
        <v>34</v>
      </c>
      <c r="AJ3" s="37" t="s">
        <v>44</v>
      </c>
      <c r="AK3" s="38" t="s">
        <v>45</v>
      </c>
      <c r="AM3" s="37" t="s">
        <v>18</v>
      </c>
      <c r="AN3" s="37" t="s">
        <v>43</v>
      </c>
      <c r="AO3" s="37" t="s">
        <v>34</v>
      </c>
      <c r="AP3" s="37" t="s">
        <v>44</v>
      </c>
      <c r="AQ3" s="38" t="s">
        <v>45</v>
      </c>
    </row>
    <row r="4">
      <c r="B4" s="39" t="s">
        <v>22</v>
      </c>
      <c r="C4" s="28"/>
      <c r="D4" s="40">
        <v>30.0</v>
      </c>
      <c r="E4" s="41">
        <v>19.0</v>
      </c>
      <c r="F4" s="42" t="str">
        <f>IFERROR(ROUND(E4/D4, 3)*100 &amp; "%", "N/A") </f>
        <v>63,3%</v>
      </c>
      <c r="G4" s="43">
        <v>2.0</v>
      </c>
      <c r="H4" s="44">
        <v>-3.0</v>
      </c>
      <c r="I4" s="45">
        <v>7.0</v>
      </c>
      <c r="J4" s="46"/>
      <c r="K4" s="47">
        <v>0.0</v>
      </c>
      <c r="M4" s="48"/>
      <c r="N4" s="49"/>
      <c r="O4" s="50"/>
      <c r="P4" s="51"/>
      <c r="R4" s="29" t="s">
        <v>46</v>
      </c>
      <c r="S4" s="10"/>
      <c r="T4" s="30">
        <v>9.0</v>
      </c>
      <c r="U4" s="31">
        <v>7.0</v>
      </c>
      <c r="V4" s="33" t="str">
        <f t="shared" ref="V4:V5" si="1">ROUND(U4/T4, 3)*100 &amp; "%"</f>
        <v>77,8%</v>
      </c>
      <c r="W4" s="34">
        <v>7.0</v>
      </c>
      <c r="X4" s="34">
        <v>-1.0</v>
      </c>
      <c r="Z4" s="52">
        <v>1.0</v>
      </c>
      <c r="AA4" s="52" t="str">
        <f t="array" ref="AA4:AA16">Classifica!B2:B14</f>
        <v>Francia</v>
      </c>
      <c r="AB4" s="53">
        <f t="array" ref="AB4:AB16">ROUND(Classifica!C2:C14,0)</f>
        <v>616</v>
      </c>
      <c r="AC4" s="52">
        <f t="array" ref="AC4:AE16">Classifica!D2:F14</f>
        <v>30</v>
      </c>
      <c r="AD4" s="52">
        <v>19.0</v>
      </c>
      <c r="AE4" s="52">
        <v>11.0</v>
      </c>
      <c r="AF4" s="36"/>
      <c r="AG4" s="54">
        <v>1.0</v>
      </c>
      <c r="AH4" s="55" t="str">
        <f>IFERROR(__xludf.DUMMYFUNCTION("LET(g, FILTER(B4:B29, B4:B29&lt;&gt;""""), p, FILTER(D4:D29, B4:B29&lt;&gt;""""), v, FILTER(E4:E29, B4:B29&lt;&gt;""""), pct, FILTER(F4:F29, B4:B29&lt;&gt;""""), score, ARRAYFORMULA(v*(v/p)), ARRAY_CONSTRAIN(SORT(HSTACK(g, v, pct, ROUND(score, 2)), 4, FALSE, 2, FALSE), 10, 4))"),"Matos")</f>
        <v>Matos</v>
      </c>
      <c r="AI4" s="55">
        <f>IFERROR(__xludf.DUMMYFUNCTION("""COMPUTED_VALUE"""),25.0)</f>
        <v>25</v>
      </c>
      <c r="AJ4" s="56" t="str">
        <f>IFERROR(__xludf.DUMMYFUNCTION("""COMPUTED_VALUE"""),"55,6%")</f>
        <v>55,6%</v>
      </c>
      <c r="AK4" s="57">
        <f>IFERROR(__xludf.DUMMYFUNCTION("""COMPUTED_VALUE"""),13.89)</f>
        <v>13.89</v>
      </c>
      <c r="AM4" s="54">
        <v>1.0</v>
      </c>
      <c r="AN4" s="55" t="str">
        <f>IFERROR(__xludf.DUMMYFUNCTION("LET(c, FILTER(R4:R50, R4:R50&lt;&gt;""""), p, FILTER(T4:T50, R4:R50&lt;&gt;""""), v, FILTER(U4:U50, R4:R50&lt;&gt;""""), pct, FILTER(V4:V50, R4:R50&lt;&gt;""""), score, ARRAYFORMULA(v*(v/p)), ARRAY_CONSTRAIN(SORT(HSTACK(c, v, pct, ROUND (score, 2)), 4, FALSE, 2, FALSE), 10, 4))"),"Francia + Matos")</f>
        <v>Francia + Matos</v>
      </c>
      <c r="AO4" s="55">
        <f>IFERROR(__xludf.DUMMYFUNCTION("""COMPUTED_VALUE"""),7.0)</f>
        <v>7</v>
      </c>
      <c r="AP4" s="56" t="str">
        <f>IFERROR(__xludf.DUMMYFUNCTION("""COMPUTED_VALUE"""),"77,8%")</f>
        <v>77,8%</v>
      </c>
      <c r="AQ4" s="57">
        <f>IFERROR(__xludf.DUMMYFUNCTION("""COMPUTED_VALUE"""),5.44)</f>
        <v>5.44</v>
      </c>
    </row>
    <row r="5">
      <c r="B5" s="49"/>
      <c r="C5" s="51"/>
      <c r="D5" s="48"/>
      <c r="E5" s="48"/>
      <c r="F5" s="48"/>
      <c r="G5" s="48"/>
      <c r="H5" s="48"/>
      <c r="I5" s="48"/>
      <c r="J5" s="48"/>
      <c r="K5" s="48"/>
      <c r="M5" s="58" t="s">
        <v>49</v>
      </c>
      <c r="N5" s="59" t="s">
        <v>51</v>
      </c>
      <c r="O5" s="27"/>
      <c r="P5" s="28"/>
      <c r="R5" s="29" t="s">
        <v>52</v>
      </c>
      <c r="S5" s="10"/>
      <c r="T5" s="30">
        <v>9.0</v>
      </c>
      <c r="U5" s="31">
        <v>2.0</v>
      </c>
      <c r="V5" s="33" t="str">
        <f t="shared" si="1"/>
        <v>22,2%</v>
      </c>
      <c r="W5" s="34">
        <v>1.0</v>
      </c>
      <c r="X5" s="34">
        <v>-7.0</v>
      </c>
      <c r="Z5" s="60">
        <v>2.0</v>
      </c>
      <c r="AA5" s="60" t="s">
        <v>23</v>
      </c>
      <c r="AB5" s="61">
        <v>608.0</v>
      </c>
      <c r="AC5" s="60">
        <v>45.0</v>
      </c>
      <c r="AD5" s="60">
        <v>25.0</v>
      </c>
      <c r="AE5" s="60">
        <v>20.0</v>
      </c>
      <c r="AF5" s="36"/>
      <c r="AG5" s="62">
        <v>2.0</v>
      </c>
      <c r="AH5" s="63" t="str">
        <f>IFERROR(__xludf.DUMMYFUNCTION("""COMPUTED_VALUE"""),"Francia")</f>
        <v>Francia</v>
      </c>
      <c r="AI5" s="63">
        <f>IFERROR(__xludf.DUMMYFUNCTION("""COMPUTED_VALUE"""),19.0)</f>
        <v>19</v>
      </c>
      <c r="AJ5" s="64" t="str">
        <f>IFERROR(__xludf.DUMMYFUNCTION("""COMPUTED_VALUE"""),"63,3%")</f>
        <v>63,3%</v>
      </c>
      <c r="AK5" s="65">
        <f>IFERROR(__xludf.DUMMYFUNCTION("""COMPUTED_VALUE"""),12.03)</f>
        <v>12.03</v>
      </c>
      <c r="AM5" s="62">
        <v>2.0</v>
      </c>
      <c r="AN5" s="63" t="str">
        <f>IFERROR(__xludf.DUMMYFUNCTION("""COMPUTED_VALUE"""),"Francia + Gae")</f>
        <v>Francia + Gae</v>
      </c>
      <c r="AO5" s="63">
        <f>IFERROR(__xludf.DUMMYFUNCTION("""COMPUTED_VALUE"""),5.0)</f>
        <v>5</v>
      </c>
      <c r="AP5" s="64" t="str">
        <f>IFERROR(__xludf.DUMMYFUNCTION("""COMPUTED_VALUE"""),"83,3%")</f>
        <v>83,3%</v>
      </c>
      <c r="AQ5" s="65">
        <f>IFERROR(__xludf.DUMMYFUNCTION("""COMPUTED_VALUE"""),4.17)</f>
        <v>4.17</v>
      </c>
    </row>
    <row r="6">
      <c r="B6" s="39" t="s">
        <v>23</v>
      </c>
      <c r="C6" s="28"/>
      <c r="D6" s="40">
        <v>45.0</v>
      </c>
      <c r="E6" s="41">
        <v>25.0</v>
      </c>
      <c r="F6" s="42" t="str">
        <f>IFERROR(ROUND(E6/D6, 3)*100 &amp; "%" , "N/A")</f>
        <v>55,6%</v>
      </c>
      <c r="G6" s="43">
        <v>-2.0</v>
      </c>
      <c r="H6" s="44">
        <v>-3.0</v>
      </c>
      <c r="I6" s="45">
        <v>7.0</v>
      </c>
      <c r="J6" s="46"/>
      <c r="K6" s="47">
        <v>0.0</v>
      </c>
      <c r="M6" s="48"/>
      <c r="N6" s="49"/>
      <c r="O6" s="50"/>
      <c r="P6" s="51"/>
      <c r="R6" s="29" t="s">
        <v>53</v>
      </c>
      <c r="S6" s="10"/>
      <c r="T6" s="30">
        <v>7.0</v>
      </c>
      <c r="U6" s="31">
        <v>4.0</v>
      </c>
      <c r="V6" s="33" t="str">
        <f t="shared" ref="V6:V28" si="2">ROUND(U6/T6, 3)*100 &amp; "%"</f>
        <v>57,1%</v>
      </c>
      <c r="W6" s="34">
        <v>4.0</v>
      </c>
      <c r="X6" s="34">
        <v>-3.0</v>
      </c>
      <c r="Z6" s="66">
        <v>3.0</v>
      </c>
      <c r="AA6" s="66" t="s">
        <v>47</v>
      </c>
      <c r="AB6" s="67">
        <v>591.0</v>
      </c>
      <c r="AC6" s="66">
        <v>21.0</v>
      </c>
      <c r="AD6" s="66">
        <v>12.0</v>
      </c>
      <c r="AE6" s="66">
        <v>9.0</v>
      </c>
      <c r="AF6" s="36"/>
      <c r="AG6" s="68">
        <v>3.0</v>
      </c>
      <c r="AH6" s="69" t="str">
        <f>IFERROR(__xludf.DUMMYFUNCTION("""COMPUTED_VALUE"""),"Gae")</f>
        <v>Gae</v>
      </c>
      <c r="AI6" s="69">
        <f>IFERROR(__xludf.DUMMYFUNCTION("""COMPUTED_VALUE"""),24.0)</f>
        <v>24</v>
      </c>
      <c r="AJ6" s="70" t="str">
        <f>IFERROR(__xludf.DUMMYFUNCTION("""COMPUTED_VALUE"""),"50%")</f>
        <v>50%</v>
      </c>
      <c r="AK6" s="71">
        <f>IFERROR(__xludf.DUMMYFUNCTION("""COMPUTED_VALUE"""),12.0)</f>
        <v>12</v>
      </c>
      <c r="AM6" s="68">
        <v>3.0</v>
      </c>
      <c r="AN6" s="69" t="str">
        <f>IFERROR(__xludf.DUMMYFUNCTION("""COMPUTED_VALUE"""),"Vesco + Matos")</f>
        <v>Vesco + Matos</v>
      </c>
      <c r="AO6" s="69">
        <f>IFERROR(__xludf.DUMMYFUNCTION("""COMPUTED_VALUE"""),5.0)</f>
        <v>5</v>
      </c>
      <c r="AP6" s="70" t="str">
        <f>IFERROR(__xludf.DUMMYFUNCTION("""COMPUTED_VALUE"""),"83,3%")</f>
        <v>83,3%</v>
      </c>
      <c r="AQ6" s="71">
        <f>IFERROR(__xludf.DUMMYFUNCTION("""COMPUTED_VALUE"""),4.17)</f>
        <v>4.17</v>
      </c>
    </row>
    <row r="7">
      <c r="B7" s="49"/>
      <c r="C7" s="51"/>
      <c r="D7" s="48"/>
      <c r="E7" s="48"/>
      <c r="F7" s="48"/>
      <c r="G7" s="48"/>
      <c r="H7" s="48"/>
      <c r="I7" s="48"/>
      <c r="J7" s="48"/>
      <c r="K7" s="48"/>
      <c r="M7" s="72" t="s">
        <v>54</v>
      </c>
      <c r="N7" s="73" t="s">
        <v>55</v>
      </c>
      <c r="O7" s="27"/>
      <c r="P7" s="28"/>
      <c r="R7" s="29" t="s">
        <v>56</v>
      </c>
      <c r="S7" s="10"/>
      <c r="T7" s="30">
        <v>7.0</v>
      </c>
      <c r="U7" s="31">
        <v>4.0</v>
      </c>
      <c r="V7" s="33" t="str">
        <f t="shared" si="2"/>
        <v>57,1%</v>
      </c>
      <c r="W7" s="34">
        <v>2.0</v>
      </c>
      <c r="X7" s="34">
        <v>-2.0</v>
      </c>
      <c r="Z7" s="74">
        <v>4.0</v>
      </c>
      <c r="AA7" s="74" t="s">
        <v>48</v>
      </c>
      <c r="AB7" s="75">
        <v>582.0</v>
      </c>
      <c r="AC7" s="74">
        <v>45.0</v>
      </c>
      <c r="AD7" s="74">
        <v>22.0</v>
      </c>
      <c r="AE7" s="74">
        <v>23.0</v>
      </c>
      <c r="AF7" s="36"/>
      <c r="AG7" s="76">
        <v>4.0</v>
      </c>
      <c r="AH7" s="77" t="str">
        <f>IFERROR(__xludf.DUMMYFUNCTION("""COMPUTED_VALUE"""),"Paolo")</f>
        <v>Paolo</v>
      </c>
      <c r="AI7" s="77">
        <f>IFERROR(__xludf.DUMMYFUNCTION("""COMPUTED_VALUE"""),19.0)</f>
        <v>19</v>
      </c>
      <c r="AJ7" s="77" t="str">
        <f>IFERROR(__xludf.DUMMYFUNCTION("""COMPUTED_VALUE"""),"47,5%")</f>
        <v>47,5%</v>
      </c>
      <c r="AK7" s="77">
        <f>IFERROR(__xludf.DUMMYFUNCTION("""COMPUTED_VALUE"""),9.03)</f>
        <v>9.03</v>
      </c>
      <c r="AM7" s="76">
        <v>4.0</v>
      </c>
      <c r="AN7" s="77" t="str">
        <f>IFERROR(__xludf.DUMMYFUNCTION("""COMPUTED_VALUE"""),"Gae + Filli")</f>
        <v>Gae + Filli</v>
      </c>
      <c r="AO7" s="77">
        <f>IFERROR(__xludf.DUMMYFUNCTION("""COMPUTED_VALUE"""),5.0)</f>
        <v>5</v>
      </c>
      <c r="AP7" s="77" t="str">
        <f>IFERROR(__xludf.DUMMYFUNCTION("""COMPUTED_VALUE"""),"62,5%")</f>
        <v>62,5%</v>
      </c>
      <c r="AQ7" s="77">
        <f>IFERROR(__xludf.DUMMYFUNCTION("""COMPUTED_VALUE"""),3.13)</f>
        <v>3.13</v>
      </c>
    </row>
    <row r="8">
      <c r="B8" s="39" t="s">
        <v>21</v>
      </c>
      <c r="C8" s="28"/>
      <c r="D8" s="40">
        <v>48.0</v>
      </c>
      <c r="E8" s="41">
        <v>24.0</v>
      </c>
      <c r="F8" s="42" t="str">
        <f>IFERROR(ROUND(E8/D8, 3)*100 &amp; "%" , "N/A")</f>
        <v>50%</v>
      </c>
      <c r="G8" s="43">
        <v>2.0</v>
      </c>
      <c r="H8" s="44">
        <v>-7.0</v>
      </c>
      <c r="I8" s="45">
        <v>9.0</v>
      </c>
      <c r="J8" s="46"/>
      <c r="K8" s="47">
        <v>0.0</v>
      </c>
      <c r="M8" s="48"/>
      <c r="N8" s="49"/>
      <c r="O8" s="50"/>
      <c r="P8" s="51"/>
      <c r="R8" s="29" t="s">
        <v>58</v>
      </c>
      <c r="S8" s="10"/>
      <c r="T8" s="30">
        <v>7.0</v>
      </c>
      <c r="U8" s="31">
        <v>3.0</v>
      </c>
      <c r="V8" s="33" t="str">
        <f t="shared" si="2"/>
        <v>42,9%</v>
      </c>
      <c r="W8" s="34">
        <v>2.0</v>
      </c>
      <c r="X8" s="34">
        <v>-3.0</v>
      </c>
      <c r="Z8" s="78">
        <v>5.0</v>
      </c>
      <c r="AA8" s="78" t="s">
        <v>50</v>
      </c>
      <c r="AB8" s="79">
        <v>563.0</v>
      </c>
      <c r="AC8" s="78">
        <v>7.0</v>
      </c>
      <c r="AD8" s="78">
        <v>4.0</v>
      </c>
      <c r="AE8" s="78">
        <v>3.0</v>
      </c>
      <c r="AF8" s="36"/>
      <c r="AG8" s="80">
        <v>5.0</v>
      </c>
      <c r="AH8" s="81" t="str">
        <f>IFERROR(__xludf.DUMMYFUNCTION("""COMPUTED_VALUE"""),"Filli")</f>
        <v>Filli</v>
      </c>
      <c r="AI8" s="81">
        <f>IFERROR(__xludf.DUMMYFUNCTION("""COMPUTED_VALUE"""),15.0)</f>
        <v>15</v>
      </c>
      <c r="AJ8" s="81" t="str">
        <f>IFERROR(__xludf.DUMMYFUNCTION("""COMPUTED_VALUE"""),"53,6%")</f>
        <v>53,6%</v>
      </c>
      <c r="AK8" s="81">
        <f>IFERROR(__xludf.DUMMYFUNCTION("""COMPUTED_VALUE"""),8.04)</f>
        <v>8.04</v>
      </c>
      <c r="AM8" s="80">
        <v>5.0</v>
      </c>
      <c r="AN8" s="81" t="str">
        <f>IFERROR(__xludf.DUMMYFUNCTION("""COMPUTED_VALUE"""),"Birra + Gae")</f>
        <v>Birra + Gae</v>
      </c>
      <c r="AO8" s="81">
        <f>IFERROR(__xludf.DUMMYFUNCTION("""COMPUTED_VALUE"""),4.0)</f>
        <v>4</v>
      </c>
      <c r="AP8" s="81" t="str">
        <f>IFERROR(__xludf.DUMMYFUNCTION("""COMPUTED_VALUE"""),"57,1%")</f>
        <v>57,1%</v>
      </c>
      <c r="AQ8" s="81">
        <f>IFERROR(__xludf.DUMMYFUNCTION("""COMPUTED_VALUE"""),2.29)</f>
        <v>2.29</v>
      </c>
    </row>
    <row r="9">
      <c r="B9" s="49"/>
      <c r="C9" s="51"/>
      <c r="D9" s="48"/>
      <c r="E9" s="48"/>
      <c r="F9" s="48"/>
      <c r="G9" s="48"/>
      <c r="H9" s="48"/>
      <c r="I9" s="48"/>
      <c r="J9" s="48"/>
      <c r="K9" s="48"/>
      <c r="M9" s="82" t="s">
        <v>61</v>
      </c>
      <c r="N9" s="83" t="s">
        <v>62</v>
      </c>
      <c r="O9" s="27"/>
      <c r="P9" s="28"/>
      <c r="R9" s="29" t="s">
        <v>63</v>
      </c>
      <c r="S9" s="10"/>
      <c r="T9" s="30">
        <v>7.0</v>
      </c>
      <c r="U9" s="31">
        <v>3.0</v>
      </c>
      <c r="V9" s="33" t="str">
        <f t="shared" si="2"/>
        <v>42,9%</v>
      </c>
      <c r="W9" s="34">
        <v>2.0</v>
      </c>
      <c r="X9" s="34">
        <v>-3.0</v>
      </c>
      <c r="Z9" s="84">
        <v>6.0</v>
      </c>
      <c r="AA9" s="84" t="s">
        <v>21</v>
      </c>
      <c r="AB9" s="85">
        <v>534.0</v>
      </c>
      <c r="AC9" s="84">
        <v>50.0</v>
      </c>
      <c r="AD9" s="84">
        <v>24.0</v>
      </c>
      <c r="AE9" s="84">
        <v>26.0</v>
      </c>
      <c r="AF9" s="36"/>
      <c r="AG9" s="86">
        <v>6.0</v>
      </c>
      <c r="AH9" s="87" t="str">
        <f>IFERROR(__xludf.DUMMYFUNCTION("""COMPUTED_VALUE"""),"Vesco")</f>
        <v>Vesco</v>
      </c>
      <c r="AI9" s="87">
        <f>IFERROR(__xludf.DUMMYFUNCTION("""COMPUTED_VALUE"""),12.0)</f>
        <v>12</v>
      </c>
      <c r="AJ9" s="87" t="str">
        <f>IFERROR(__xludf.DUMMYFUNCTION("""COMPUTED_VALUE"""),"57,1%")</f>
        <v>57,1%</v>
      </c>
      <c r="AK9" s="87">
        <f>IFERROR(__xludf.DUMMYFUNCTION("""COMPUTED_VALUE"""),6.86)</f>
        <v>6.86</v>
      </c>
      <c r="AM9" s="86">
        <v>6.0</v>
      </c>
      <c r="AN9" s="87" t="str">
        <f>IFERROR(__xludf.DUMMYFUNCTION("""COMPUTED_VALUE"""),"Ricky + Col")</f>
        <v>Ricky + Col</v>
      </c>
      <c r="AO9" s="87">
        <f>IFERROR(__xludf.DUMMYFUNCTION("""COMPUTED_VALUE"""),4.0)</f>
        <v>4</v>
      </c>
      <c r="AP9" s="87" t="str">
        <f>IFERROR(__xludf.DUMMYFUNCTION("""COMPUTED_VALUE"""),"57,1%")</f>
        <v>57,1%</v>
      </c>
      <c r="AQ9" s="87">
        <f>IFERROR(__xludf.DUMMYFUNCTION("""COMPUTED_VALUE"""),2.29)</f>
        <v>2.29</v>
      </c>
    </row>
    <row r="10">
      <c r="B10" s="39" t="s">
        <v>20</v>
      </c>
      <c r="C10" s="28"/>
      <c r="D10" s="40">
        <v>41.0</v>
      </c>
      <c r="E10" s="41">
        <v>15.0</v>
      </c>
      <c r="F10" s="42" t="str">
        <f>IFERROR(ROUND(E10/D10, 3)*100 &amp; "%" , "N/A")</f>
        <v>36,6%</v>
      </c>
      <c r="G10" s="43">
        <v>-2.0</v>
      </c>
      <c r="H10" s="44">
        <v>-7.0</v>
      </c>
      <c r="I10" s="45">
        <v>3.0</v>
      </c>
      <c r="J10" s="46"/>
      <c r="K10" s="47">
        <v>0.0</v>
      </c>
      <c r="M10" s="48"/>
      <c r="N10" s="49"/>
      <c r="O10" s="50"/>
      <c r="P10" s="51"/>
      <c r="R10" s="29" t="s">
        <v>64</v>
      </c>
      <c r="S10" s="10"/>
      <c r="T10" s="30">
        <v>6.0</v>
      </c>
      <c r="U10" s="31">
        <v>5.0</v>
      </c>
      <c r="V10" s="33" t="str">
        <f t="shared" si="2"/>
        <v>83,3%</v>
      </c>
      <c r="W10" s="34">
        <v>5.0</v>
      </c>
      <c r="X10" s="34">
        <v>-1.0</v>
      </c>
      <c r="Z10" s="88">
        <v>7.0</v>
      </c>
      <c r="AA10" s="88" t="s">
        <v>57</v>
      </c>
      <c r="AB10" s="89">
        <v>528.0</v>
      </c>
      <c r="AC10" s="88">
        <v>29.0</v>
      </c>
      <c r="AD10" s="88">
        <v>16.0</v>
      </c>
      <c r="AE10" s="88">
        <v>13.0</v>
      </c>
      <c r="AF10" s="36"/>
      <c r="AG10" s="90">
        <v>7.0</v>
      </c>
      <c r="AH10" s="91" t="str">
        <f>IFERROR(__xludf.DUMMYFUNCTION("""COMPUTED_VALUE"""),"Bonny")</f>
        <v>Bonny</v>
      </c>
      <c r="AI10" s="91">
        <f>IFERROR(__xludf.DUMMYFUNCTION("""COMPUTED_VALUE"""),15.0)</f>
        <v>15</v>
      </c>
      <c r="AJ10" s="91" t="str">
        <f>IFERROR(__xludf.DUMMYFUNCTION("""COMPUTED_VALUE"""),"36,6%")</f>
        <v>36,6%</v>
      </c>
      <c r="AK10" s="91">
        <f>IFERROR(__xludf.DUMMYFUNCTION("""COMPUTED_VALUE"""),5.49)</f>
        <v>5.49</v>
      </c>
      <c r="AM10" s="90">
        <v>7.0</v>
      </c>
      <c r="AN10" s="91" t="str">
        <f>IFERROR(__xludf.DUMMYFUNCTION("""COMPUTED_VALUE"""),"Matos + Gae")</f>
        <v>Matos + Gae</v>
      </c>
      <c r="AO10" s="91">
        <f>IFERROR(__xludf.DUMMYFUNCTION("""COMPUTED_VALUE"""),4.0)</f>
        <v>4</v>
      </c>
      <c r="AP10" s="91" t="str">
        <f>IFERROR(__xludf.DUMMYFUNCTION("""COMPUTED_VALUE"""),"57,1%")</f>
        <v>57,1%</v>
      </c>
      <c r="AQ10" s="91">
        <f>IFERROR(__xludf.DUMMYFUNCTION("""COMPUTED_VALUE"""),2.29)</f>
        <v>2.29</v>
      </c>
    </row>
    <row r="11">
      <c r="B11" s="49"/>
      <c r="C11" s="51"/>
      <c r="D11" s="48"/>
      <c r="E11" s="48"/>
      <c r="F11" s="48"/>
      <c r="G11" s="48"/>
      <c r="H11" s="48"/>
      <c r="I11" s="48"/>
      <c r="J11" s="48"/>
      <c r="K11" s="48"/>
      <c r="M11" s="44" t="s">
        <v>65</v>
      </c>
      <c r="N11" s="92" t="s">
        <v>66</v>
      </c>
      <c r="O11" s="27"/>
      <c r="P11" s="28"/>
      <c r="R11" s="29" t="s">
        <v>67</v>
      </c>
      <c r="S11" s="10"/>
      <c r="T11" s="30">
        <v>6.0</v>
      </c>
      <c r="U11" s="31">
        <v>3.0</v>
      </c>
      <c r="V11" s="33" t="str">
        <f t="shared" si="2"/>
        <v>50%</v>
      </c>
      <c r="W11" s="34">
        <v>2.0</v>
      </c>
      <c r="X11" s="34">
        <v>-1.0</v>
      </c>
      <c r="Z11" s="93">
        <v>8.0</v>
      </c>
      <c r="AA11" s="93" t="s">
        <v>60</v>
      </c>
      <c r="AB11" s="94">
        <v>525.0</v>
      </c>
      <c r="AC11" s="93">
        <v>7.0</v>
      </c>
      <c r="AD11" s="93">
        <v>4.0</v>
      </c>
      <c r="AE11" s="93">
        <v>3.0</v>
      </c>
      <c r="AF11" s="36"/>
      <c r="AG11" s="95">
        <v>8.0</v>
      </c>
      <c r="AH11" s="96" t="str">
        <f>IFERROR(__xludf.DUMMYFUNCTION("""COMPUTED_VALUE"""),"Ricky")</f>
        <v>Ricky</v>
      </c>
      <c r="AI11" s="96">
        <f>IFERROR(__xludf.DUMMYFUNCTION("""COMPUTED_VALUE"""),11.0)</f>
        <v>11</v>
      </c>
      <c r="AJ11" s="96" t="str">
        <f>IFERROR(__xludf.DUMMYFUNCTION("""COMPUTED_VALUE"""),"45,8%")</f>
        <v>45,8%</v>
      </c>
      <c r="AK11" s="96">
        <f>IFERROR(__xludf.DUMMYFUNCTION("""COMPUTED_VALUE"""),5.04)</f>
        <v>5.04</v>
      </c>
      <c r="AM11" s="95">
        <v>8.0</v>
      </c>
      <c r="AN11" s="96" t="str">
        <f>IFERROR(__xludf.DUMMYFUNCTION("""COMPUTED_VALUE"""),"Gae + Paolo")</f>
        <v>Gae + Paolo</v>
      </c>
      <c r="AO11" s="96">
        <f>IFERROR(__xludf.DUMMYFUNCTION("""COMPUTED_VALUE"""),3.0)</f>
        <v>3</v>
      </c>
      <c r="AP11" s="96" t="str">
        <f>IFERROR(__xludf.DUMMYFUNCTION("""COMPUTED_VALUE"""),"60%")</f>
        <v>60%</v>
      </c>
      <c r="AQ11" s="96">
        <f>IFERROR(__xludf.DUMMYFUNCTION("""COMPUTED_VALUE"""),1.8)</f>
        <v>1.8</v>
      </c>
    </row>
    <row r="12">
      <c r="B12" s="39" t="s">
        <v>69</v>
      </c>
      <c r="C12" s="28"/>
      <c r="D12" s="40">
        <v>24.0</v>
      </c>
      <c r="E12" s="41">
        <v>11.0</v>
      </c>
      <c r="F12" s="42" t="str">
        <f>IFERROR(ROUND(E12/D12, 3)*100 &amp; "%", "N/A") </f>
        <v>45,8%</v>
      </c>
      <c r="G12" s="43">
        <v>-2.0</v>
      </c>
      <c r="H12" s="44">
        <v>-3.0</v>
      </c>
      <c r="I12" s="45">
        <v>2.0</v>
      </c>
      <c r="J12" s="97"/>
      <c r="K12" s="47">
        <v>0.0</v>
      </c>
      <c r="M12" s="48"/>
      <c r="N12" s="49"/>
      <c r="O12" s="50"/>
      <c r="P12" s="51"/>
      <c r="R12" s="29" t="s">
        <v>70</v>
      </c>
      <c r="S12" s="10"/>
      <c r="T12" s="30">
        <v>6.0</v>
      </c>
      <c r="U12" s="31">
        <v>2.0</v>
      </c>
      <c r="V12" s="33" t="str">
        <f t="shared" si="2"/>
        <v>33,3%</v>
      </c>
      <c r="W12" s="34">
        <v>1.0</v>
      </c>
      <c r="X12" s="34">
        <v>-3.0</v>
      </c>
      <c r="Z12" s="98">
        <v>9.0</v>
      </c>
      <c r="AA12" s="98" t="s">
        <v>68</v>
      </c>
      <c r="AB12" s="99">
        <v>504.0</v>
      </c>
      <c r="AC12" s="98">
        <v>6.0</v>
      </c>
      <c r="AD12" s="98">
        <v>3.0</v>
      </c>
      <c r="AE12" s="98">
        <v>3.0</v>
      </c>
      <c r="AF12" s="36"/>
      <c r="AG12" s="100">
        <v>9.0</v>
      </c>
      <c r="AH12" s="101" t="str">
        <f>IFERROR(__xludf.DUMMYFUNCTION("""COMPUTED_VALUE"""),"Birra")</f>
        <v>Birra</v>
      </c>
      <c r="AI12" s="101">
        <f>IFERROR(__xludf.DUMMYFUNCTION("""COMPUTED_VALUE"""),4.0)</f>
        <v>4</v>
      </c>
      <c r="AJ12" s="101" t="str">
        <f>IFERROR(__xludf.DUMMYFUNCTION("""COMPUTED_VALUE"""),"57,1%")</f>
        <v>57,1%</v>
      </c>
      <c r="AK12" s="101">
        <f>IFERROR(__xludf.DUMMYFUNCTION("""COMPUTED_VALUE"""),2.29)</f>
        <v>2.29</v>
      </c>
      <c r="AM12" s="100">
        <v>9.0</v>
      </c>
      <c r="AN12" s="101" t="str">
        <f>IFERROR(__xludf.DUMMYFUNCTION("""COMPUTED_VALUE"""),"Vesco + Picci")</f>
        <v>Vesco + Picci</v>
      </c>
      <c r="AO12" s="101">
        <f>IFERROR(__xludf.DUMMYFUNCTION("""COMPUTED_VALUE"""),3.0)</f>
        <v>3</v>
      </c>
      <c r="AP12" s="101" t="str">
        <f>IFERROR(__xludf.DUMMYFUNCTION("""COMPUTED_VALUE"""),"50%")</f>
        <v>50%</v>
      </c>
      <c r="AQ12" s="101">
        <f>IFERROR(__xludf.DUMMYFUNCTION("""COMPUTED_VALUE"""),1.5)</f>
        <v>1.5</v>
      </c>
    </row>
    <row r="13">
      <c r="B13" s="49"/>
      <c r="C13" s="51"/>
      <c r="D13" s="48"/>
      <c r="E13" s="48"/>
      <c r="F13" s="48"/>
      <c r="G13" s="48"/>
      <c r="H13" s="48"/>
      <c r="I13" s="48"/>
      <c r="J13" s="48"/>
      <c r="K13" s="48"/>
      <c r="R13" s="29" t="s">
        <v>71</v>
      </c>
      <c r="S13" s="10"/>
      <c r="T13" s="30">
        <v>6.0</v>
      </c>
      <c r="U13" s="31">
        <v>2.0</v>
      </c>
      <c r="V13" s="33" t="str">
        <f t="shared" si="2"/>
        <v>33,3%</v>
      </c>
      <c r="W13" s="34">
        <v>1.0</v>
      </c>
      <c r="X13" s="34">
        <v>-4.0</v>
      </c>
      <c r="Z13" s="102">
        <v>10.0</v>
      </c>
      <c r="AA13" s="102" t="s">
        <v>59</v>
      </c>
      <c r="AB13" s="103">
        <v>484.0</v>
      </c>
      <c r="AC13" s="102">
        <v>24.0</v>
      </c>
      <c r="AD13" s="102">
        <v>11.0</v>
      </c>
      <c r="AE13" s="102">
        <v>13.0</v>
      </c>
      <c r="AF13" s="36"/>
      <c r="AG13" s="104">
        <v>10.0</v>
      </c>
      <c r="AH13" s="105" t="str">
        <f>IFERROR(__xludf.DUMMYFUNCTION("""COMPUTED_VALUE"""),"Col")</f>
        <v>Col</v>
      </c>
      <c r="AI13" s="105">
        <f>IFERROR(__xludf.DUMMYFUNCTION("""COMPUTED_VALUE"""),4.0)</f>
        <v>4</v>
      </c>
      <c r="AJ13" s="105" t="str">
        <f>IFERROR(__xludf.DUMMYFUNCTION("""COMPUTED_VALUE"""),"57,1%")</f>
        <v>57,1%</v>
      </c>
      <c r="AK13" s="105">
        <f>IFERROR(__xludf.DUMMYFUNCTION("""COMPUTED_VALUE"""),2.29)</f>
        <v>2.29</v>
      </c>
      <c r="AM13" s="104">
        <v>10.0</v>
      </c>
      <c r="AN13" s="105" t="str">
        <f>IFERROR(__xludf.DUMMYFUNCTION("""COMPUTED_VALUE"""),"Filli + Paolo")</f>
        <v>Filli + Paolo</v>
      </c>
      <c r="AO13" s="105">
        <f>IFERROR(__xludf.DUMMYFUNCTION("""COMPUTED_VALUE"""),3.0)</f>
        <v>3</v>
      </c>
      <c r="AP13" s="105" t="str">
        <f>IFERROR(__xludf.DUMMYFUNCTION("""COMPUTED_VALUE"""),"50%")</f>
        <v>50%</v>
      </c>
      <c r="AQ13" s="105">
        <f>IFERROR(__xludf.DUMMYFUNCTION("""COMPUTED_VALUE"""),1.5)</f>
        <v>1.5</v>
      </c>
    </row>
    <row r="14">
      <c r="B14" s="39" t="s">
        <v>48</v>
      </c>
      <c r="C14" s="28"/>
      <c r="D14" s="40">
        <v>40.0</v>
      </c>
      <c r="E14" s="41">
        <v>19.0</v>
      </c>
      <c r="F14" s="42" t="str">
        <f>IFERROR(ROUND(E14/D14, 3)*100 &amp; "%" , "N/A")</f>
        <v>47,5%</v>
      </c>
      <c r="G14" s="43">
        <v>3.0</v>
      </c>
      <c r="H14" s="44">
        <v>-6.0</v>
      </c>
      <c r="I14" s="45">
        <v>3.0</v>
      </c>
      <c r="J14" s="97"/>
      <c r="K14" s="47">
        <v>0.0</v>
      </c>
      <c r="M14" s="4" t="s">
        <v>73</v>
      </c>
      <c r="N14" s="7"/>
      <c r="O14" s="7"/>
      <c r="P14" s="10"/>
      <c r="R14" s="29" t="s">
        <v>74</v>
      </c>
      <c r="S14" s="10"/>
      <c r="T14" s="30">
        <v>7.0</v>
      </c>
      <c r="U14" s="31">
        <v>4.0</v>
      </c>
      <c r="V14" s="33" t="str">
        <f t="shared" si="2"/>
        <v>57,1%</v>
      </c>
      <c r="W14" s="34">
        <v>2.0</v>
      </c>
      <c r="X14" s="34">
        <v>-1.0</v>
      </c>
      <c r="Z14" s="106">
        <v>11.0</v>
      </c>
      <c r="AA14" s="106" t="s">
        <v>72</v>
      </c>
      <c r="AB14" s="107">
        <v>482.0</v>
      </c>
      <c r="AC14" s="106">
        <v>8.0</v>
      </c>
      <c r="AD14" s="106">
        <v>3.0</v>
      </c>
      <c r="AE14" s="106">
        <v>5.0</v>
      </c>
    </row>
    <row r="15">
      <c r="B15" s="49"/>
      <c r="C15" s="51"/>
      <c r="D15" s="48"/>
      <c r="E15" s="48"/>
      <c r="F15" s="48"/>
      <c r="G15" s="48"/>
      <c r="H15" s="48"/>
      <c r="I15" s="48"/>
      <c r="J15" s="48"/>
      <c r="K15" s="48"/>
      <c r="M15" s="108" t="s">
        <v>76</v>
      </c>
      <c r="N15" s="109" t="s">
        <v>77</v>
      </c>
      <c r="O15" s="27"/>
      <c r="P15" s="28"/>
      <c r="R15" s="29" t="s">
        <v>78</v>
      </c>
      <c r="S15" s="10"/>
      <c r="T15" s="30">
        <v>6.0</v>
      </c>
      <c r="U15" s="31">
        <v>3.0</v>
      </c>
      <c r="V15" s="33" t="str">
        <f t="shared" si="2"/>
        <v>50%</v>
      </c>
      <c r="W15" s="34">
        <v>2.0</v>
      </c>
      <c r="X15" s="34">
        <v>-1.0</v>
      </c>
      <c r="Z15" s="110">
        <v>12.0</v>
      </c>
      <c r="AA15" s="110" t="s">
        <v>75</v>
      </c>
      <c r="AB15" s="111">
        <v>459.0</v>
      </c>
      <c r="AC15" s="110">
        <v>5.0</v>
      </c>
      <c r="AD15" s="110">
        <v>1.0</v>
      </c>
      <c r="AE15" s="110">
        <v>4.0</v>
      </c>
    </row>
    <row r="16">
      <c r="B16" s="39" t="s">
        <v>50</v>
      </c>
      <c r="C16" s="28"/>
      <c r="D16" s="40">
        <v>7.0</v>
      </c>
      <c r="E16" s="41">
        <v>4.0</v>
      </c>
      <c r="F16" s="42" t="str">
        <f>IFERROR(ROUND(E16/D16, 3)*100 &amp; "%", "N/A") </f>
        <v>57,1%</v>
      </c>
      <c r="G16" s="43">
        <v>4.0</v>
      </c>
      <c r="H16" s="44">
        <v>-3.0</v>
      </c>
      <c r="I16" s="45">
        <v>4.0</v>
      </c>
      <c r="J16" s="97"/>
      <c r="K16" s="47">
        <v>0.0</v>
      </c>
      <c r="M16" s="48"/>
      <c r="N16" s="49"/>
      <c r="O16" s="50"/>
      <c r="P16" s="51"/>
      <c r="R16" s="29" t="s">
        <v>79</v>
      </c>
      <c r="S16" s="10"/>
      <c r="T16" s="30">
        <v>6.0</v>
      </c>
      <c r="U16" s="31">
        <v>2.0</v>
      </c>
      <c r="V16" s="33" t="str">
        <f t="shared" si="2"/>
        <v>33,3%</v>
      </c>
      <c r="W16" s="34">
        <v>1.0</v>
      </c>
      <c r="X16" s="34">
        <v>-3.0</v>
      </c>
      <c r="Z16" s="112">
        <v>13.0</v>
      </c>
      <c r="AA16" s="112" t="s">
        <v>20</v>
      </c>
      <c r="AB16" s="113">
        <v>455.0</v>
      </c>
      <c r="AC16" s="112">
        <v>39.0</v>
      </c>
      <c r="AD16" s="112">
        <v>14.0</v>
      </c>
      <c r="AE16" s="112">
        <v>25.0</v>
      </c>
    </row>
    <row r="17">
      <c r="B17" s="49"/>
      <c r="C17" s="51"/>
      <c r="D17" s="48"/>
      <c r="E17" s="48"/>
      <c r="F17" s="48"/>
      <c r="G17" s="48"/>
      <c r="H17" s="48"/>
      <c r="I17" s="48"/>
      <c r="J17" s="48"/>
      <c r="K17" s="48"/>
      <c r="M17" s="108" t="s">
        <v>80</v>
      </c>
      <c r="N17" s="109" t="s">
        <v>81</v>
      </c>
      <c r="O17" s="27"/>
      <c r="P17" s="28"/>
      <c r="R17" s="29" t="s">
        <v>82</v>
      </c>
      <c r="S17" s="10"/>
      <c r="T17" s="30">
        <v>8.0</v>
      </c>
      <c r="U17" s="31">
        <v>5.0</v>
      </c>
      <c r="V17" s="33" t="str">
        <f t="shared" si="2"/>
        <v>62,5%</v>
      </c>
      <c r="W17" s="34">
        <v>3.0</v>
      </c>
      <c r="X17" s="34">
        <v>-1.0</v>
      </c>
    </row>
    <row r="18">
      <c r="B18" s="39" t="s">
        <v>60</v>
      </c>
      <c r="C18" s="28"/>
      <c r="D18" s="40">
        <v>7.0</v>
      </c>
      <c r="E18" s="41">
        <v>4.0</v>
      </c>
      <c r="F18" s="42" t="str">
        <f>IFERROR(ROUND(E18/D18, 3)*100 &amp; "%", "N/A") </f>
        <v>57,1%</v>
      </c>
      <c r="G18" s="43">
        <v>-1.0</v>
      </c>
      <c r="H18" s="44">
        <v>-2.0</v>
      </c>
      <c r="I18" s="45">
        <v>2.0</v>
      </c>
      <c r="J18" s="97"/>
      <c r="K18" s="47">
        <v>0.0</v>
      </c>
      <c r="M18" s="48"/>
      <c r="N18" s="49"/>
      <c r="O18" s="50"/>
      <c r="P18" s="51"/>
      <c r="R18" s="29" t="s">
        <v>83</v>
      </c>
      <c r="S18" s="10"/>
      <c r="T18" s="30">
        <v>5.0</v>
      </c>
      <c r="U18" s="31">
        <v>2.0</v>
      </c>
      <c r="V18" s="33" t="str">
        <f t="shared" si="2"/>
        <v>40%</v>
      </c>
      <c r="W18" s="34">
        <v>2.0</v>
      </c>
      <c r="X18" s="34">
        <v>-2.0</v>
      </c>
    </row>
    <row r="19">
      <c r="B19" s="49"/>
      <c r="C19" s="51"/>
      <c r="D19" s="48"/>
      <c r="E19" s="48"/>
      <c r="F19" s="48"/>
      <c r="G19" s="48"/>
      <c r="H19" s="48"/>
      <c r="I19" s="48"/>
      <c r="J19" s="48"/>
      <c r="K19" s="48"/>
      <c r="M19" s="108" t="s">
        <v>84</v>
      </c>
      <c r="N19" s="109" t="s">
        <v>85</v>
      </c>
      <c r="O19" s="27"/>
      <c r="P19" s="28"/>
      <c r="R19" s="29" t="s">
        <v>86</v>
      </c>
      <c r="S19" s="10"/>
      <c r="T19" s="30">
        <v>5.0</v>
      </c>
      <c r="U19" s="31">
        <v>2.0</v>
      </c>
      <c r="V19" s="33" t="str">
        <f t="shared" si="2"/>
        <v>40%</v>
      </c>
      <c r="W19" s="34">
        <v>1.0</v>
      </c>
      <c r="X19" s="34">
        <v>-2.0</v>
      </c>
    </row>
    <row r="20">
      <c r="B20" s="39" t="s">
        <v>57</v>
      </c>
      <c r="C20" s="28"/>
      <c r="D20" s="40">
        <v>28.0</v>
      </c>
      <c r="E20" s="41">
        <v>15.0</v>
      </c>
      <c r="F20" s="42" t="str">
        <f>IFERROR(ROUND(E20/D20, 3)*100 &amp; "%" , "N/A")</f>
        <v>53,6%</v>
      </c>
      <c r="G20" s="43">
        <v>2.0</v>
      </c>
      <c r="H20" s="44">
        <v>-3.0</v>
      </c>
      <c r="I20" s="45">
        <v>3.0</v>
      </c>
      <c r="J20" s="97"/>
      <c r="K20" s="47">
        <v>0.0</v>
      </c>
      <c r="M20" s="48"/>
      <c r="N20" s="49"/>
      <c r="O20" s="50"/>
      <c r="P20" s="51"/>
      <c r="R20" s="29" t="s">
        <v>87</v>
      </c>
      <c r="S20" s="10"/>
      <c r="T20" s="30">
        <v>3.0</v>
      </c>
      <c r="U20" s="31">
        <v>2.0</v>
      </c>
      <c r="V20" s="33" t="str">
        <f t="shared" si="2"/>
        <v>66,7%</v>
      </c>
      <c r="W20" s="34">
        <v>2.0</v>
      </c>
      <c r="X20" s="34">
        <v>-1.0</v>
      </c>
    </row>
    <row r="21">
      <c r="B21" s="49"/>
      <c r="C21" s="51"/>
      <c r="D21" s="48"/>
      <c r="E21" s="48"/>
      <c r="F21" s="48"/>
      <c r="G21" s="48"/>
      <c r="H21" s="48"/>
      <c r="I21" s="48"/>
      <c r="J21" s="48"/>
      <c r="K21" s="48"/>
      <c r="M21" s="108" t="s">
        <v>88</v>
      </c>
      <c r="N21" s="109" t="s">
        <v>89</v>
      </c>
      <c r="O21" s="27"/>
      <c r="P21" s="28"/>
      <c r="R21" s="29" t="s">
        <v>90</v>
      </c>
      <c r="S21" s="10"/>
      <c r="T21" s="30">
        <v>2.0</v>
      </c>
      <c r="U21" s="31">
        <v>1.0</v>
      </c>
      <c r="V21" s="33" t="str">
        <f t="shared" si="2"/>
        <v>50%</v>
      </c>
      <c r="W21" s="34">
        <v>1.0</v>
      </c>
      <c r="X21" s="34">
        <v>-1.0</v>
      </c>
    </row>
    <row r="22">
      <c r="B22" s="39" t="s">
        <v>75</v>
      </c>
      <c r="C22" s="28"/>
      <c r="D22" s="114">
        <v>5.0</v>
      </c>
      <c r="E22" s="115">
        <v>1.0</v>
      </c>
      <c r="F22" s="42" t="str">
        <f>IFERROR(ROUND(E22/D22, 3)*100 &amp; "%" , "N/A")</f>
        <v>20%</v>
      </c>
      <c r="G22" s="116">
        <v>-4.0</v>
      </c>
      <c r="H22" s="117">
        <v>-4.0</v>
      </c>
      <c r="I22" s="118">
        <v>1.0</v>
      </c>
      <c r="J22" s="97"/>
      <c r="K22" s="47">
        <v>0.0</v>
      </c>
      <c r="M22" s="48"/>
      <c r="N22" s="49"/>
      <c r="O22" s="50"/>
      <c r="P22" s="51"/>
      <c r="R22" s="29" t="s">
        <v>91</v>
      </c>
      <c r="S22" s="10"/>
      <c r="T22" s="30">
        <v>5.0</v>
      </c>
      <c r="U22" s="31">
        <v>3.0</v>
      </c>
      <c r="V22" s="33" t="str">
        <f t="shared" si="2"/>
        <v>60%</v>
      </c>
      <c r="W22" s="34">
        <v>2.0</v>
      </c>
      <c r="X22" s="34">
        <v>-1.0</v>
      </c>
    </row>
    <row r="23">
      <c r="B23" s="49"/>
      <c r="C23" s="51"/>
      <c r="D23" s="48"/>
      <c r="E23" s="48"/>
      <c r="F23" s="48"/>
      <c r="G23" s="48"/>
      <c r="H23" s="48"/>
      <c r="I23" s="48"/>
      <c r="J23" s="48"/>
      <c r="K23" s="48"/>
      <c r="M23" s="108" t="s">
        <v>92</v>
      </c>
      <c r="N23" s="109" t="s">
        <v>93</v>
      </c>
      <c r="O23" s="27"/>
      <c r="P23" s="28"/>
      <c r="R23" s="29" t="s">
        <v>94</v>
      </c>
      <c r="S23" s="10"/>
      <c r="T23" s="30">
        <v>6.0</v>
      </c>
      <c r="U23" s="31">
        <v>5.0</v>
      </c>
      <c r="V23" s="33" t="str">
        <f t="shared" si="2"/>
        <v>83,3%</v>
      </c>
      <c r="W23" s="34">
        <v>4.0</v>
      </c>
      <c r="X23" s="34">
        <v>-1.0</v>
      </c>
    </row>
    <row r="24">
      <c r="B24" s="39" t="s">
        <v>47</v>
      </c>
      <c r="C24" s="28"/>
      <c r="D24" s="40">
        <v>21.0</v>
      </c>
      <c r="E24" s="41">
        <v>12.0</v>
      </c>
      <c r="F24" s="42" t="str">
        <f>IFERROR(ROUND(E24/D24, 3)*100 &amp; "%" , "N/A")</f>
        <v>57,1%</v>
      </c>
      <c r="G24" s="43">
        <v>1.0</v>
      </c>
      <c r="H24" s="44">
        <v>-3.0</v>
      </c>
      <c r="I24" s="45">
        <v>4.0</v>
      </c>
      <c r="J24" s="97"/>
      <c r="K24" s="47">
        <v>0.0</v>
      </c>
      <c r="M24" s="48"/>
      <c r="N24" s="49"/>
      <c r="O24" s="50"/>
      <c r="P24" s="51"/>
      <c r="R24" s="29" t="s">
        <v>95</v>
      </c>
      <c r="S24" s="10"/>
      <c r="T24" s="30">
        <v>6.0</v>
      </c>
      <c r="U24" s="31">
        <v>3.0</v>
      </c>
      <c r="V24" s="33" t="str">
        <f t="shared" si="2"/>
        <v>50%</v>
      </c>
      <c r="W24" s="34">
        <v>2.0</v>
      </c>
      <c r="X24" s="34">
        <v>-1.0</v>
      </c>
    </row>
    <row r="25">
      <c r="B25" s="49"/>
      <c r="C25" s="51"/>
      <c r="D25" s="48"/>
      <c r="E25" s="48"/>
      <c r="F25" s="48"/>
      <c r="G25" s="48"/>
      <c r="H25" s="48"/>
      <c r="I25" s="48"/>
      <c r="J25" s="48"/>
      <c r="K25" s="48"/>
      <c r="M25" s="108" t="s">
        <v>96</v>
      </c>
      <c r="N25" s="109" t="s">
        <v>97</v>
      </c>
      <c r="O25" s="27"/>
      <c r="P25" s="28"/>
      <c r="R25" s="29" t="s">
        <v>98</v>
      </c>
      <c r="S25" s="10"/>
      <c r="T25" s="30">
        <v>6.0</v>
      </c>
      <c r="U25" s="31">
        <v>3.0</v>
      </c>
      <c r="V25" s="33" t="str">
        <f t="shared" si="2"/>
        <v>50%</v>
      </c>
      <c r="W25" s="34">
        <v>2.0</v>
      </c>
      <c r="X25" s="34">
        <v>-3.0</v>
      </c>
    </row>
    <row r="26">
      <c r="B26" s="39" t="s">
        <v>68</v>
      </c>
      <c r="C26" s="28"/>
      <c r="D26" s="114">
        <v>6.0</v>
      </c>
      <c r="E26" s="115">
        <v>3.0</v>
      </c>
      <c r="F26" s="42" t="str">
        <f>IFERROR(ROUND(E26/D26, 3)*100 &amp; "%" , "N/A")</f>
        <v>50%</v>
      </c>
      <c r="G26" s="116">
        <v>-1.0</v>
      </c>
      <c r="H26" s="117">
        <v>-1.0</v>
      </c>
      <c r="I26" s="118">
        <v>2.0</v>
      </c>
      <c r="J26" s="97"/>
      <c r="K26" s="47">
        <v>0.0</v>
      </c>
      <c r="M26" s="48"/>
      <c r="N26" s="49"/>
      <c r="O26" s="50"/>
      <c r="P26" s="51"/>
      <c r="R26" s="29" t="s">
        <v>99</v>
      </c>
      <c r="S26" s="10"/>
      <c r="T26" s="30">
        <v>4.0</v>
      </c>
      <c r="U26" s="31">
        <v>1.0</v>
      </c>
      <c r="V26" s="33" t="str">
        <f t="shared" si="2"/>
        <v>25%</v>
      </c>
      <c r="W26" s="34">
        <v>1.0</v>
      </c>
      <c r="X26" s="34">
        <v>-3.0</v>
      </c>
    </row>
    <row r="27">
      <c r="B27" s="49"/>
      <c r="C27" s="51"/>
      <c r="D27" s="48"/>
      <c r="E27" s="48"/>
      <c r="F27" s="48"/>
      <c r="G27" s="48"/>
      <c r="H27" s="48"/>
      <c r="I27" s="48"/>
      <c r="J27" s="48"/>
      <c r="K27" s="48"/>
      <c r="M27" s="108" t="s">
        <v>100</v>
      </c>
      <c r="N27" s="109" t="s">
        <v>101</v>
      </c>
      <c r="O27" s="27"/>
      <c r="P27" s="28"/>
      <c r="R27" s="29" t="s">
        <v>102</v>
      </c>
      <c r="S27" s="10"/>
      <c r="T27" s="30">
        <v>5.0</v>
      </c>
      <c r="U27" s="31">
        <v>2.0</v>
      </c>
      <c r="V27" s="33" t="str">
        <f t="shared" si="2"/>
        <v>40%</v>
      </c>
      <c r="W27" s="34">
        <v>1.0</v>
      </c>
      <c r="X27" s="34">
        <v>-2.0</v>
      </c>
    </row>
    <row r="28">
      <c r="B28" s="39" t="s">
        <v>72</v>
      </c>
      <c r="C28" s="28"/>
      <c r="D28" s="40">
        <v>8.0</v>
      </c>
      <c r="E28" s="41">
        <v>3.0</v>
      </c>
      <c r="F28" s="42" t="str">
        <f>IFERROR(ROUND(E28/D28, 3)*100 &amp; "%" , "N/A")</f>
        <v>37,5%</v>
      </c>
      <c r="G28" s="43">
        <v>-2.0</v>
      </c>
      <c r="H28" s="44">
        <v>-2.0</v>
      </c>
      <c r="I28" s="45">
        <v>2.0</v>
      </c>
      <c r="J28" s="97"/>
      <c r="K28" s="47">
        <v>0.0</v>
      </c>
      <c r="M28" s="48"/>
      <c r="N28" s="49"/>
      <c r="O28" s="50"/>
      <c r="P28" s="51"/>
      <c r="R28" s="29" t="s">
        <v>103</v>
      </c>
      <c r="S28" s="10"/>
      <c r="T28" s="30">
        <v>6.0</v>
      </c>
      <c r="U28" s="31">
        <v>2.0</v>
      </c>
      <c r="V28" s="33" t="str">
        <f t="shared" si="2"/>
        <v>33,3%</v>
      </c>
      <c r="W28" s="34">
        <v>1.0</v>
      </c>
      <c r="X28" s="34">
        <v>-2.0</v>
      </c>
    </row>
    <row r="29">
      <c r="B29" s="49"/>
      <c r="C29" s="51"/>
      <c r="D29" s="48"/>
      <c r="E29" s="48"/>
      <c r="F29" s="48"/>
      <c r="G29" s="48"/>
      <c r="H29" s="48"/>
      <c r="I29" s="48"/>
      <c r="J29" s="48"/>
      <c r="K29" s="48"/>
      <c r="M29" s="108" t="s">
        <v>104</v>
      </c>
      <c r="N29" s="109" t="s">
        <v>105</v>
      </c>
      <c r="O29" s="27"/>
      <c r="P29" s="28"/>
      <c r="R29" s="29"/>
      <c r="S29" s="10"/>
      <c r="T29" s="30"/>
      <c r="U29" s="31"/>
      <c r="V29" s="33"/>
      <c r="W29" s="34"/>
      <c r="X29" s="34"/>
    </row>
    <row r="30">
      <c r="B30" s="39"/>
      <c r="C30" s="28"/>
      <c r="D30" s="119"/>
      <c r="E30" s="120"/>
      <c r="F30" s="42"/>
      <c r="G30" s="121"/>
      <c r="H30" s="122"/>
      <c r="I30" s="123"/>
      <c r="J30" s="97"/>
      <c r="K30" s="124"/>
      <c r="M30" s="48"/>
      <c r="N30" s="49"/>
      <c r="O30" s="50"/>
      <c r="P30" s="51"/>
      <c r="R30" s="29"/>
      <c r="S30" s="10"/>
      <c r="T30" s="30"/>
      <c r="U30" s="31"/>
      <c r="V30" s="33"/>
      <c r="W30" s="34"/>
      <c r="X30" s="34"/>
    </row>
    <row r="31">
      <c r="B31" s="49"/>
      <c r="C31" s="51"/>
      <c r="D31" s="48"/>
      <c r="E31" s="48"/>
      <c r="F31" s="48"/>
      <c r="G31" s="48"/>
      <c r="H31" s="48"/>
      <c r="I31" s="48"/>
      <c r="J31" s="48"/>
      <c r="K31" s="48"/>
      <c r="R31" s="29"/>
      <c r="S31" s="10"/>
      <c r="T31" s="30"/>
      <c r="U31" s="31"/>
      <c r="V31" s="33"/>
      <c r="W31" s="34"/>
      <c r="X31" s="34"/>
    </row>
    <row r="32">
      <c r="B32" s="39"/>
      <c r="C32" s="28"/>
      <c r="D32" s="119"/>
      <c r="E32" s="120"/>
      <c r="F32" s="42"/>
      <c r="G32" s="121"/>
      <c r="H32" s="122"/>
      <c r="I32" s="123"/>
      <c r="J32" s="97"/>
      <c r="K32" s="124"/>
      <c r="R32" s="29"/>
      <c r="S32" s="10"/>
      <c r="T32" s="30"/>
      <c r="U32" s="31"/>
      <c r="V32" s="33"/>
      <c r="W32" s="34"/>
      <c r="X32" s="34"/>
    </row>
    <row r="33">
      <c r="B33" s="49"/>
      <c r="C33" s="51"/>
      <c r="D33" s="48"/>
      <c r="E33" s="48"/>
      <c r="F33" s="48"/>
      <c r="G33" s="48"/>
      <c r="H33" s="48"/>
      <c r="I33" s="48"/>
      <c r="J33" s="48"/>
      <c r="K33" s="48"/>
      <c r="R33" s="29"/>
      <c r="S33" s="10"/>
      <c r="T33" s="30"/>
      <c r="U33" s="31"/>
      <c r="V33" s="33"/>
      <c r="W33" s="34"/>
      <c r="X33" s="34"/>
    </row>
    <row r="34">
      <c r="B34" s="39"/>
      <c r="C34" s="28"/>
      <c r="D34" s="119"/>
      <c r="E34" s="120"/>
      <c r="F34" s="42"/>
      <c r="G34" s="121"/>
      <c r="H34" s="122"/>
      <c r="I34" s="123"/>
      <c r="J34" s="97"/>
      <c r="K34" s="124"/>
      <c r="R34" s="29"/>
      <c r="S34" s="10"/>
      <c r="T34" s="30"/>
      <c r="U34" s="31"/>
      <c r="V34" s="33"/>
      <c r="W34" s="34"/>
      <c r="X34" s="34"/>
    </row>
    <row r="35">
      <c r="B35" s="49"/>
      <c r="C35" s="51"/>
      <c r="D35" s="48"/>
      <c r="E35" s="48"/>
      <c r="F35" s="48"/>
      <c r="G35" s="48"/>
      <c r="H35" s="48"/>
      <c r="I35" s="48"/>
      <c r="J35" s="48"/>
      <c r="K35" s="48"/>
      <c r="R35" s="29"/>
      <c r="S35" s="10"/>
      <c r="T35" s="30"/>
      <c r="U35" s="31"/>
      <c r="V35" s="33"/>
      <c r="W35" s="34"/>
      <c r="X35" s="34"/>
    </row>
    <row r="36">
      <c r="B36" s="39"/>
      <c r="C36" s="28"/>
      <c r="D36" s="119"/>
      <c r="E36" s="120"/>
      <c r="F36" s="42"/>
      <c r="G36" s="121"/>
      <c r="H36" s="122"/>
      <c r="I36" s="123"/>
      <c r="J36" s="97"/>
      <c r="K36" s="124"/>
    </row>
    <row r="37">
      <c r="B37" s="49"/>
      <c r="C37" s="51"/>
      <c r="D37" s="48"/>
      <c r="E37" s="48"/>
      <c r="F37" s="48"/>
      <c r="G37" s="48"/>
      <c r="H37" s="48"/>
      <c r="I37" s="48"/>
      <c r="J37" s="48"/>
      <c r="K37" s="48"/>
    </row>
    <row r="38">
      <c r="B38" s="39"/>
      <c r="C38" s="28"/>
      <c r="D38" s="119"/>
      <c r="E38" s="120"/>
      <c r="F38" s="42"/>
      <c r="G38" s="121"/>
      <c r="H38" s="122"/>
      <c r="I38" s="123"/>
      <c r="J38" s="97"/>
      <c r="K38" s="124"/>
    </row>
    <row r="39">
      <c r="B39" s="49"/>
      <c r="C39" s="51"/>
      <c r="D39" s="48"/>
      <c r="E39" s="48"/>
      <c r="F39" s="48"/>
      <c r="G39" s="48"/>
      <c r="H39" s="48"/>
      <c r="I39" s="48"/>
      <c r="J39" s="48"/>
      <c r="K39" s="48"/>
    </row>
  </sheetData>
  <mergeCells count="229">
    <mergeCell ref="J26:J27"/>
    <mergeCell ref="K26:K27"/>
    <mergeCell ref="M27:M28"/>
    <mergeCell ref="N27:P28"/>
    <mergeCell ref="R27:S27"/>
    <mergeCell ref="R28:S28"/>
    <mergeCell ref="B26:C27"/>
    <mergeCell ref="D26:D27"/>
    <mergeCell ref="E26:E27"/>
    <mergeCell ref="F26:F27"/>
    <mergeCell ref="G26:G27"/>
    <mergeCell ref="H26:H27"/>
    <mergeCell ref="I26:I27"/>
    <mergeCell ref="J28:J29"/>
    <mergeCell ref="K28:K29"/>
    <mergeCell ref="M29:M30"/>
    <mergeCell ref="N29:P30"/>
    <mergeCell ref="R29:S29"/>
    <mergeCell ref="R30:S30"/>
    <mergeCell ref="B28:C29"/>
    <mergeCell ref="D28:D29"/>
    <mergeCell ref="E28:E29"/>
    <mergeCell ref="F28:F29"/>
    <mergeCell ref="G28:G29"/>
    <mergeCell ref="H28:H29"/>
    <mergeCell ref="I28:I29"/>
    <mergeCell ref="J30:J31"/>
    <mergeCell ref="K30:K31"/>
    <mergeCell ref="R31:S31"/>
    <mergeCell ref="B30:C31"/>
    <mergeCell ref="D30:D31"/>
    <mergeCell ref="E30:E31"/>
    <mergeCell ref="F30:F31"/>
    <mergeCell ref="G30:G31"/>
    <mergeCell ref="H30:H31"/>
    <mergeCell ref="I30:I31"/>
    <mergeCell ref="J32:J33"/>
    <mergeCell ref="K32:K33"/>
    <mergeCell ref="R32:S32"/>
    <mergeCell ref="R33:S33"/>
    <mergeCell ref="B32:C33"/>
    <mergeCell ref="D32:D33"/>
    <mergeCell ref="E32:E33"/>
    <mergeCell ref="F32:F33"/>
    <mergeCell ref="G32:G33"/>
    <mergeCell ref="H32:H33"/>
    <mergeCell ref="I32:I33"/>
    <mergeCell ref="J34:J35"/>
    <mergeCell ref="K34:K35"/>
    <mergeCell ref="R34:S34"/>
    <mergeCell ref="R35:S35"/>
    <mergeCell ref="B34:C35"/>
    <mergeCell ref="D34:D35"/>
    <mergeCell ref="E34:E35"/>
    <mergeCell ref="F34:F35"/>
    <mergeCell ref="G34:G35"/>
    <mergeCell ref="H34:H35"/>
    <mergeCell ref="I34:I35"/>
    <mergeCell ref="J36:J37"/>
    <mergeCell ref="K36:K37"/>
    <mergeCell ref="B36:C37"/>
    <mergeCell ref="D36:D37"/>
    <mergeCell ref="E36:E37"/>
    <mergeCell ref="F36:F37"/>
    <mergeCell ref="G36:G37"/>
    <mergeCell ref="H36:H37"/>
    <mergeCell ref="I36:I37"/>
    <mergeCell ref="B6:C7"/>
    <mergeCell ref="D6:D7"/>
    <mergeCell ref="E6:E7"/>
    <mergeCell ref="F6:F7"/>
    <mergeCell ref="G6:G7"/>
    <mergeCell ref="H6:H7"/>
    <mergeCell ref="I6:I7"/>
    <mergeCell ref="B8:C9"/>
    <mergeCell ref="D8:D9"/>
    <mergeCell ref="E8:E9"/>
    <mergeCell ref="F8:F9"/>
    <mergeCell ref="G8:G9"/>
    <mergeCell ref="H8:H9"/>
    <mergeCell ref="I8:I9"/>
    <mergeCell ref="J12:J13"/>
    <mergeCell ref="K12:K13"/>
    <mergeCell ref="B12:C13"/>
    <mergeCell ref="D12:D13"/>
    <mergeCell ref="E12:E13"/>
    <mergeCell ref="F12:F13"/>
    <mergeCell ref="G12:G13"/>
    <mergeCell ref="H12:H13"/>
    <mergeCell ref="I12:I13"/>
    <mergeCell ref="J14:J15"/>
    <mergeCell ref="K14:K15"/>
    <mergeCell ref="M15:M16"/>
    <mergeCell ref="N15:P16"/>
    <mergeCell ref="R15:S15"/>
    <mergeCell ref="R16:S16"/>
    <mergeCell ref="J16:J17"/>
    <mergeCell ref="K16:K17"/>
    <mergeCell ref="M17:M18"/>
    <mergeCell ref="N17:P18"/>
    <mergeCell ref="R17:S17"/>
    <mergeCell ref="R18:S18"/>
    <mergeCell ref="J38:J39"/>
    <mergeCell ref="K38:K39"/>
    <mergeCell ref="B38:C39"/>
    <mergeCell ref="D38:D39"/>
    <mergeCell ref="E38:E39"/>
    <mergeCell ref="F38:F39"/>
    <mergeCell ref="G38:G39"/>
    <mergeCell ref="H38:H39"/>
    <mergeCell ref="I38:I39"/>
    <mergeCell ref="J6:J7"/>
    <mergeCell ref="K6:K7"/>
    <mergeCell ref="M7:M8"/>
    <mergeCell ref="N7:P8"/>
    <mergeCell ref="N3:P4"/>
    <mergeCell ref="R3:S3"/>
    <mergeCell ref="R4:S4"/>
    <mergeCell ref="R5:S5"/>
    <mergeCell ref="R6:S6"/>
    <mergeCell ref="R7:S7"/>
    <mergeCell ref="R8:S8"/>
    <mergeCell ref="B2:K2"/>
    <mergeCell ref="M2:P2"/>
    <mergeCell ref="R2:X2"/>
    <mergeCell ref="AG2:AK2"/>
    <mergeCell ref="AM2:AQ2"/>
    <mergeCell ref="B3:C3"/>
    <mergeCell ref="M3:M4"/>
    <mergeCell ref="Z2:AE2"/>
    <mergeCell ref="J4:J5"/>
    <mergeCell ref="K4:K5"/>
    <mergeCell ref="M5:M6"/>
    <mergeCell ref="N5:P6"/>
    <mergeCell ref="B4:C5"/>
    <mergeCell ref="D4:D5"/>
    <mergeCell ref="E4:E5"/>
    <mergeCell ref="F4:F5"/>
    <mergeCell ref="G4:G5"/>
    <mergeCell ref="H4:H5"/>
    <mergeCell ref="I4:I5"/>
    <mergeCell ref="J8:J9"/>
    <mergeCell ref="K8:K9"/>
    <mergeCell ref="M9:M10"/>
    <mergeCell ref="N9:P10"/>
    <mergeCell ref="J10:J11"/>
    <mergeCell ref="K10:K11"/>
    <mergeCell ref="M11:M12"/>
    <mergeCell ref="N11:P12"/>
    <mergeCell ref="M14:P14"/>
    <mergeCell ref="B10:C11"/>
    <mergeCell ref="D10:D11"/>
    <mergeCell ref="E10:E11"/>
    <mergeCell ref="F10:F11"/>
    <mergeCell ref="G10:G11"/>
    <mergeCell ref="H10:H11"/>
    <mergeCell ref="I10:I11"/>
    <mergeCell ref="R9:S9"/>
    <mergeCell ref="R10:S10"/>
    <mergeCell ref="R11:S11"/>
    <mergeCell ref="R12:S12"/>
    <mergeCell ref="R13:S13"/>
    <mergeCell ref="R14:S14"/>
    <mergeCell ref="B14:C15"/>
    <mergeCell ref="D14:D15"/>
    <mergeCell ref="E14:E15"/>
    <mergeCell ref="F14:F15"/>
    <mergeCell ref="G14:G15"/>
    <mergeCell ref="H14:H15"/>
    <mergeCell ref="I14:I15"/>
    <mergeCell ref="B16:C17"/>
    <mergeCell ref="D16:D17"/>
    <mergeCell ref="E16:E17"/>
    <mergeCell ref="F16:F17"/>
    <mergeCell ref="G16:G17"/>
    <mergeCell ref="H16:H17"/>
    <mergeCell ref="I16:I17"/>
    <mergeCell ref="J18:J19"/>
    <mergeCell ref="K18:K19"/>
    <mergeCell ref="M19:M20"/>
    <mergeCell ref="N19:P20"/>
    <mergeCell ref="R19:S19"/>
    <mergeCell ref="R20:S20"/>
    <mergeCell ref="B18:C19"/>
    <mergeCell ref="D18:D19"/>
    <mergeCell ref="E18:E19"/>
    <mergeCell ref="F18:F19"/>
    <mergeCell ref="G18:G19"/>
    <mergeCell ref="H18:H19"/>
    <mergeCell ref="I18:I19"/>
    <mergeCell ref="J20:J21"/>
    <mergeCell ref="K20:K21"/>
    <mergeCell ref="M21:M22"/>
    <mergeCell ref="N21:P22"/>
    <mergeCell ref="R21:S21"/>
    <mergeCell ref="R22:S22"/>
    <mergeCell ref="B20:C21"/>
    <mergeCell ref="D20:D21"/>
    <mergeCell ref="E20:E21"/>
    <mergeCell ref="F20:F21"/>
    <mergeCell ref="G20:G21"/>
    <mergeCell ref="H20:H21"/>
    <mergeCell ref="I20:I21"/>
    <mergeCell ref="J22:J23"/>
    <mergeCell ref="K22:K23"/>
    <mergeCell ref="M23:M24"/>
    <mergeCell ref="N23:P24"/>
    <mergeCell ref="R23:S23"/>
    <mergeCell ref="R24:S24"/>
    <mergeCell ref="B22:C23"/>
    <mergeCell ref="D22:D23"/>
    <mergeCell ref="E22:E23"/>
    <mergeCell ref="F22:F23"/>
    <mergeCell ref="G22:G23"/>
    <mergeCell ref="H22:H23"/>
    <mergeCell ref="I22:I23"/>
    <mergeCell ref="J24:J25"/>
    <mergeCell ref="K24:K25"/>
    <mergeCell ref="M25:M26"/>
    <mergeCell ref="N25:P26"/>
    <mergeCell ref="R25:S25"/>
    <mergeCell ref="R26:S26"/>
    <mergeCell ref="B24:C25"/>
    <mergeCell ref="D24:D25"/>
    <mergeCell ref="E24:E25"/>
    <mergeCell ref="F24:F25"/>
    <mergeCell ref="G24:G25"/>
    <mergeCell ref="H24:H25"/>
    <mergeCell ref="I24:I25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>
      <c r="A2" s="1">
        <f t="shared" ref="A2:A500" si="1">IF(B2="","", ROW()-1)</f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5">
        <v>1.0</v>
      </c>
      <c r="G2" s="9">
        <f>IFERROR(__xludf.DUMMYFUNCTION("IF(B2="""","""",ROUND(XLOOKUP(B2, FLATTEN(B$1:E1), FLATTEN(O$1:R1), 500, 0, -1)))"),500.0)</f>
        <v>500</v>
      </c>
      <c r="H2" s="9">
        <f>IFERROR(__xludf.DUMMYFUNCTION("IF(C2="""","""",ROUND(XLOOKUP(C2, FLATTEN(B$1:E1), FLATTEN(O$1:R1), 500, 0, -1)))"),500.0)</f>
        <v>500</v>
      </c>
      <c r="I2" s="9">
        <f>IFERROR(__xludf.DUMMYFUNCTION("IF(D2="""","""",ROUND(XLOOKUP(D2, FLATTEN(B$1:E1), FLATTEN(O$1:R1), 500, 0, -1)))"),500.0)</f>
        <v>500</v>
      </c>
      <c r="J2" s="9">
        <f>IFERROR(__xludf.DUMMYFUNCTION("IF(E2="""","""",ROUND(XLOOKUP(E2, FLATTEN(B$1:E1), FLATTEN(O$1:R1), 500, 0, -1)))"),500.0)</f>
        <v>500</v>
      </c>
      <c r="K2" s="9">
        <f t="shared" ref="K2:K500" si="2">IF(B2="","",ROUND((G2+H2)/2 - ((MAX(G2,H2)-MIN(G2,H2))^2)/1200,0))</f>
        <v>500</v>
      </c>
      <c r="L2" s="9">
        <f t="shared" ref="L2:L500" si="3">IF(D2="","",ROUND((I2+J2)/2 - ((MAX(I2,J2)-MIN(I2,J2))^2)/1200,0))</f>
        <v>500</v>
      </c>
      <c r="M2" s="32">
        <f t="shared" ref="M2:M500" si="4">IF(F2="","",ROUND(1 / (1 + 10^((L2-K2)/400)), 2))</f>
        <v>0.5</v>
      </c>
      <c r="N2" s="9">
        <f t="shared" ref="N2:N500" si="5">IF(F2="","",ROUND(40 * (IF(F2=1, 1, 0) - M2),0))</f>
        <v>20</v>
      </c>
      <c r="O2" s="9">
        <f t="shared" ref="O2:O500" si="6">IF(F2="","",ROUND(G2 + N2 + IF(F2=1, 3, 0),0))</f>
        <v>523</v>
      </c>
      <c r="P2" s="9">
        <f t="shared" ref="P2:P500" si="7">IF(F2="","",ROUND(H2 + N2 + IF(F2=1, 3, 0),0))</f>
        <v>523</v>
      </c>
      <c r="Q2" s="9">
        <f t="shared" ref="Q2:Q500" si="8">IF(F2="","",ROUND(I2 - N2 + IF(F2=2, 3, 0),0))</f>
        <v>480</v>
      </c>
      <c r="R2" s="9">
        <f t="shared" ref="R2:R500" si="9">IF(F2="","",ROUND(J2 - N2 + IF(F2=2, 3, 0),0))</f>
        <v>480</v>
      </c>
    </row>
    <row r="3">
      <c r="A3" s="1">
        <f t="shared" si="1"/>
        <v>2</v>
      </c>
      <c r="B3" s="1" t="s">
        <v>22</v>
      </c>
      <c r="C3" s="1" t="s">
        <v>23</v>
      </c>
      <c r="D3" s="1" t="s">
        <v>20</v>
      </c>
      <c r="E3" s="1" t="s">
        <v>21</v>
      </c>
      <c r="F3" s="5">
        <v>1.0</v>
      </c>
      <c r="G3" s="9">
        <f>IFERROR(__xludf.DUMMYFUNCTION("IF(B3="""","""",ROUND(XLOOKUP(B3, FLATTEN(B$1:E2), FLATTEN(O$1:R2), 500, 0, -1)))"),480.0)</f>
        <v>480</v>
      </c>
      <c r="H3" s="9">
        <f>IFERROR(__xludf.DUMMYFUNCTION("IF(C3="""","""",ROUND(XLOOKUP(C3, FLATTEN(B$1:E2), FLATTEN(O$1:R2), 500, 0, -1)))"),480.0)</f>
        <v>480</v>
      </c>
      <c r="I3" s="9">
        <f>IFERROR(__xludf.DUMMYFUNCTION("IF(D3="""","""",ROUND(XLOOKUP(D3, FLATTEN(B$1:E2), FLATTEN(O$1:R2), 500, 0, -1)))"),523.0)</f>
        <v>523</v>
      </c>
      <c r="J3" s="9">
        <f>IFERROR(__xludf.DUMMYFUNCTION("IF(E3="""","""",ROUND(XLOOKUP(E3, FLATTEN(B$1:E2), FLATTEN(O$1:R2), 500, 0, -1)))"),523.0)</f>
        <v>523</v>
      </c>
      <c r="K3" s="9">
        <f t="shared" si="2"/>
        <v>480</v>
      </c>
      <c r="L3" s="9">
        <f t="shared" si="3"/>
        <v>523</v>
      </c>
      <c r="M3" s="32">
        <f t="shared" si="4"/>
        <v>0.44</v>
      </c>
      <c r="N3" s="9">
        <f t="shared" si="5"/>
        <v>22</v>
      </c>
      <c r="O3" s="9">
        <f t="shared" si="6"/>
        <v>505</v>
      </c>
      <c r="P3" s="9">
        <f t="shared" si="7"/>
        <v>505</v>
      </c>
      <c r="Q3" s="9">
        <f t="shared" si="8"/>
        <v>501</v>
      </c>
      <c r="R3" s="9">
        <f t="shared" si="9"/>
        <v>501</v>
      </c>
    </row>
    <row r="4">
      <c r="A4" s="1">
        <f t="shared" si="1"/>
        <v>3</v>
      </c>
      <c r="B4" s="1" t="s">
        <v>22</v>
      </c>
      <c r="C4" s="1" t="s">
        <v>23</v>
      </c>
      <c r="D4" s="1" t="s">
        <v>20</v>
      </c>
      <c r="E4" s="1" t="s">
        <v>21</v>
      </c>
      <c r="F4" s="5">
        <v>1.0</v>
      </c>
      <c r="G4" s="9">
        <f>IFERROR(__xludf.DUMMYFUNCTION("IF(B4="""","""",ROUND(XLOOKUP(B4, FLATTEN(B$1:E3), FLATTEN(O$1:R3), 500, 0, -1)))"),505.0)</f>
        <v>505</v>
      </c>
      <c r="H4" s="9">
        <f>IFERROR(__xludf.DUMMYFUNCTION("IF(C4="""","""",ROUND(XLOOKUP(C4, FLATTEN(B$1:E3), FLATTEN(O$1:R3), 500, 0, -1)))"),505.0)</f>
        <v>505</v>
      </c>
      <c r="I4" s="9">
        <f>IFERROR(__xludf.DUMMYFUNCTION("IF(D4="""","""",ROUND(XLOOKUP(D4, FLATTEN(B$1:E3), FLATTEN(O$1:R3), 500, 0, -1)))"),501.0)</f>
        <v>501</v>
      </c>
      <c r="J4" s="9">
        <f>IFERROR(__xludf.DUMMYFUNCTION("IF(E4="""","""",ROUND(XLOOKUP(E4, FLATTEN(B$1:E3), FLATTEN(O$1:R3), 500, 0, -1)))"),501.0)</f>
        <v>501</v>
      </c>
      <c r="K4" s="9">
        <f t="shared" si="2"/>
        <v>505</v>
      </c>
      <c r="L4" s="9">
        <f t="shared" si="3"/>
        <v>501</v>
      </c>
      <c r="M4" s="32">
        <f t="shared" si="4"/>
        <v>0.51</v>
      </c>
      <c r="N4" s="9">
        <f t="shared" si="5"/>
        <v>20</v>
      </c>
      <c r="O4" s="9">
        <f t="shared" si="6"/>
        <v>528</v>
      </c>
      <c r="P4" s="9">
        <f t="shared" si="7"/>
        <v>528</v>
      </c>
      <c r="Q4" s="9">
        <f t="shared" si="8"/>
        <v>481</v>
      </c>
      <c r="R4" s="9">
        <f t="shared" si="9"/>
        <v>481</v>
      </c>
    </row>
    <row r="5">
      <c r="A5" s="1">
        <f t="shared" si="1"/>
        <v>4</v>
      </c>
      <c r="B5" s="1" t="s">
        <v>22</v>
      </c>
      <c r="C5" s="1" t="s">
        <v>23</v>
      </c>
      <c r="D5" s="1" t="s">
        <v>20</v>
      </c>
      <c r="E5" s="1" t="s">
        <v>21</v>
      </c>
      <c r="F5" s="5">
        <v>1.0</v>
      </c>
      <c r="G5" s="9">
        <f>IFERROR(__xludf.DUMMYFUNCTION("IF(B5="""","""",ROUND(XLOOKUP(B5, FLATTEN(B$1:E4), FLATTEN(O$1:R4), 500, 0, -1)))"),528.0)</f>
        <v>528</v>
      </c>
      <c r="H5" s="9">
        <f>IFERROR(__xludf.DUMMYFUNCTION("IF(C5="""","""",ROUND(XLOOKUP(C5, FLATTEN(B$1:E4), FLATTEN(O$1:R4), 500, 0, -1)))"),528.0)</f>
        <v>528</v>
      </c>
      <c r="I5" s="9">
        <f>IFERROR(__xludf.DUMMYFUNCTION("IF(D5="""","""",ROUND(XLOOKUP(D5, FLATTEN(B$1:E4), FLATTEN(O$1:R4), 500, 0, -1)))"),481.0)</f>
        <v>481</v>
      </c>
      <c r="J5" s="9">
        <f>IFERROR(__xludf.DUMMYFUNCTION("IF(E5="""","""",ROUND(XLOOKUP(E5, FLATTEN(B$1:E4), FLATTEN(O$1:R4), 500, 0, -1)))"),481.0)</f>
        <v>481</v>
      </c>
      <c r="K5" s="9">
        <f t="shared" si="2"/>
        <v>528</v>
      </c>
      <c r="L5" s="9">
        <f t="shared" si="3"/>
        <v>481</v>
      </c>
      <c r="M5" s="32">
        <f t="shared" si="4"/>
        <v>0.57</v>
      </c>
      <c r="N5" s="9">
        <f t="shared" si="5"/>
        <v>17</v>
      </c>
      <c r="O5" s="9">
        <f t="shared" si="6"/>
        <v>548</v>
      </c>
      <c r="P5" s="9">
        <f t="shared" si="7"/>
        <v>548</v>
      </c>
      <c r="Q5" s="9">
        <f t="shared" si="8"/>
        <v>464</v>
      </c>
      <c r="R5" s="9">
        <f t="shared" si="9"/>
        <v>464</v>
      </c>
    </row>
    <row r="6">
      <c r="A6" s="1">
        <f t="shared" si="1"/>
        <v>5</v>
      </c>
      <c r="B6" s="1" t="s">
        <v>22</v>
      </c>
      <c r="C6" s="1" t="s">
        <v>23</v>
      </c>
      <c r="D6" s="1" t="s">
        <v>20</v>
      </c>
      <c r="E6" s="1" t="s">
        <v>21</v>
      </c>
      <c r="F6" s="5">
        <v>1.0</v>
      </c>
      <c r="G6" s="9">
        <f>IFERROR(__xludf.DUMMYFUNCTION("IF(B6="""","""",ROUND(XLOOKUP(B6, FLATTEN(B$1:E5), FLATTEN(O$1:R5), 500, 0, -1)))"),548.0)</f>
        <v>548</v>
      </c>
      <c r="H6" s="9">
        <f>IFERROR(__xludf.DUMMYFUNCTION("IF(C6="""","""",ROUND(XLOOKUP(C6, FLATTEN(B$1:E5), FLATTEN(O$1:R5), 500, 0, -1)))"),548.0)</f>
        <v>548</v>
      </c>
      <c r="I6" s="9">
        <f>IFERROR(__xludf.DUMMYFUNCTION("IF(D6="""","""",ROUND(XLOOKUP(D6, FLATTEN(B$1:E5), FLATTEN(O$1:R5), 500, 0, -1)))"),464.0)</f>
        <v>464</v>
      </c>
      <c r="J6" s="9">
        <f>IFERROR(__xludf.DUMMYFUNCTION("IF(E6="""","""",ROUND(XLOOKUP(E6, FLATTEN(B$1:E5), FLATTEN(O$1:R5), 500, 0, -1)))"),464.0)</f>
        <v>464</v>
      </c>
      <c r="K6" s="9">
        <f t="shared" si="2"/>
        <v>548</v>
      </c>
      <c r="L6" s="9">
        <f t="shared" si="3"/>
        <v>464</v>
      </c>
      <c r="M6" s="32">
        <f t="shared" si="4"/>
        <v>0.62</v>
      </c>
      <c r="N6" s="9">
        <f t="shared" si="5"/>
        <v>15</v>
      </c>
      <c r="O6" s="9">
        <f t="shared" si="6"/>
        <v>566</v>
      </c>
      <c r="P6" s="9">
        <f t="shared" si="7"/>
        <v>566</v>
      </c>
      <c r="Q6" s="9">
        <f t="shared" si="8"/>
        <v>449</v>
      </c>
      <c r="R6" s="9">
        <f t="shared" si="9"/>
        <v>449</v>
      </c>
    </row>
    <row r="7">
      <c r="A7" s="1">
        <f t="shared" si="1"/>
        <v>6</v>
      </c>
      <c r="B7" s="1" t="s">
        <v>22</v>
      </c>
      <c r="C7" s="1" t="s">
        <v>23</v>
      </c>
      <c r="D7" s="1" t="s">
        <v>20</v>
      </c>
      <c r="E7" s="1" t="s">
        <v>21</v>
      </c>
      <c r="F7" s="5">
        <v>1.0</v>
      </c>
      <c r="G7" s="9">
        <f>IFERROR(__xludf.DUMMYFUNCTION("IF(B7="""","""",ROUND(XLOOKUP(B7, FLATTEN(B$1:E6), FLATTEN(O$1:R6), 500, 0, -1)))"),566.0)</f>
        <v>566</v>
      </c>
      <c r="H7" s="9">
        <f>IFERROR(__xludf.DUMMYFUNCTION("IF(C7="""","""",ROUND(XLOOKUP(C7, FLATTEN(B$1:E6), FLATTEN(O$1:R6), 500, 0, -1)))"),566.0)</f>
        <v>566</v>
      </c>
      <c r="I7" s="9">
        <f>IFERROR(__xludf.DUMMYFUNCTION("IF(D7="""","""",ROUND(XLOOKUP(D7, FLATTEN(B$1:E6), FLATTEN(O$1:R6), 500, 0, -1)))"),449.0)</f>
        <v>449</v>
      </c>
      <c r="J7" s="9">
        <f>IFERROR(__xludf.DUMMYFUNCTION("IF(E7="""","""",ROUND(XLOOKUP(E7, FLATTEN(B$1:E6), FLATTEN(O$1:R6), 500, 0, -1)))"),449.0)</f>
        <v>449</v>
      </c>
      <c r="K7" s="9">
        <f t="shared" si="2"/>
        <v>566</v>
      </c>
      <c r="L7" s="9">
        <f t="shared" si="3"/>
        <v>449</v>
      </c>
      <c r="M7" s="32">
        <f t="shared" si="4"/>
        <v>0.66</v>
      </c>
      <c r="N7" s="9">
        <f t="shared" si="5"/>
        <v>14</v>
      </c>
      <c r="O7" s="9">
        <f t="shared" si="6"/>
        <v>583</v>
      </c>
      <c r="P7" s="9">
        <f t="shared" si="7"/>
        <v>583</v>
      </c>
      <c r="Q7" s="9">
        <f t="shared" si="8"/>
        <v>435</v>
      </c>
      <c r="R7" s="9">
        <f t="shared" si="9"/>
        <v>435</v>
      </c>
    </row>
    <row r="8">
      <c r="A8" s="1">
        <f t="shared" si="1"/>
        <v>7</v>
      </c>
      <c r="B8" s="1" t="s">
        <v>22</v>
      </c>
      <c r="C8" s="1" t="s">
        <v>23</v>
      </c>
      <c r="D8" s="1" t="s">
        <v>20</v>
      </c>
      <c r="E8" s="1" t="s">
        <v>21</v>
      </c>
      <c r="F8" s="5">
        <v>1.0</v>
      </c>
      <c r="G8" s="9">
        <f>IFERROR(__xludf.DUMMYFUNCTION("IF(B8="""","""",ROUND(XLOOKUP(B8, FLATTEN(B$1:E7), FLATTEN(O$1:R7), 500, 0, -1)))"),583.0)</f>
        <v>583</v>
      </c>
      <c r="H8" s="9">
        <f>IFERROR(__xludf.DUMMYFUNCTION("IF(C8="""","""",ROUND(XLOOKUP(C8, FLATTEN(B$1:E7), FLATTEN(O$1:R7), 500, 0, -1)))"),583.0)</f>
        <v>583</v>
      </c>
      <c r="I8" s="9">
        <f>IFERROR(__xludf.DUMMYFUNCTION("IF(D8="""","""",ROUND(XLOOKUP(D8, FLATTEN(B$1:E7), FLATTEN(O$1:R7), 500, 0, -1)))"),435.0)</f>
        <v>435</v>
      </c>
      <c r="J8" s="9">
        <f>IFERROR(__xludf.DUMMYFUNCTION("IF(E8="""","""",ROUND(XLOOKUP(E8, FLATTEN(B$1:E7), FLATTEN(O$1:R7), 500, 0, -1)))"),435.0)</f>
        <v>435</v>
      </c>
      <c r="K8" s="9">
        <f t="shared" si="2"/>
        <v>583</v>
      </c>
      <c r="L8" s="9">
        <f t="shared" si="3"/>
        <v>435</v>
      </c>
      <c r="M8" s="32">
        <f t="shared" si="4"/>
        <v>0.7</v>
      </c>
      <c r="N8" s="9">
        <f t="shared" si="5"/>
        <v>12</v>
      </c>
      <c r="O8" s="9">
        <f t="shared" si="6"/>
        <v>598</v>
      </c>
      <c r="P8" s="9">
        <f t="shared" si="7"/>
        <v>598</v>
      </c>
      <c r="Q8" s="9">
        <f t="shared" si="8"/>
        <v>423</v>
      </c>
      <c r="R8" s="9">
        <f t="shared" si="9"/>
        <v>423</v>
      </c>
    </row>
    <row r="9">
      <c r="A9" s="1">
        <f t="shared" si="1"/>
        <v>8</v>
      </c>
      <c r="B9" s="1" t="s">
        <v>22</v>
      </c>
      <c r="C9" s="1" t="s">
        <v>23</v>
      </c>
      <c r="D9" s="1" t="s">
        <v>20</v>
      </c>
      <c r="E9" s="1" t="s">
        <v>21</v>
      </c>
      <c r="F9" s="5">
        <v>1.0</v>
      </c>
      <c r="G9" s="9">
        <f>IFERROR(__xludf.DUMMYFUNCTION("IF(B9="""","""",ROUND(XLOOKUP(B9, FLATTEN(B$1:E8), FLATTEN(O$1:R8), 500, 0, -1)))"),598.0)</f>
        <v>598</v>
      </c>
      <c r="H9" s="9">
        <f>IFERROR(__xludf.DUMMYFUNCTION("IF(C9="""","""",ROUND(XLOOKUP(C9, FLATTEN(B$1:E8), FLATTEN(O$1:R8), 500, 0, -1)))"),598.0)</f>
        <v>598</v>
      </c>
      <c r="I9" s="9">
        <f>IFERROR(__xludf.DUMMYFUNCTION("IF(D9="""","""",ROUND(XLOOKUP(D9, FLATTEN(B$1:E8), FLATTEN(O$1:R8), 500, 0, -1)))"),423.0)</f>
        <v>423</v>
      </c>
      <c r="J9" s="9">
        <f>IFERROR(__xludf.DUMMYFUNCTION("IF(E9="""","""",ROUND(XLOOKUP(E9, FLATTEN(B$1:E8), FLATTEN(O$1:R8), 500, 0, -1)))"),423.0)</f>
        <v>423</v>
      </c>
      <c r="K9" s="9">
        <f t="shared" si="2"/>
        <v>598</v>
      </c>
      <c r="L9" s="9">
        <f t="shared" si="3"/>
        <v>423</v>
      </c>
      <c r="M9" s="32">
        <f t="shared" si="4"/>
        <v>0.73</v>
      </c>
      <c r="N9" s="9">
        <f t="shared" si="5"/>
        <v>11</v>
      </c>
      <c r="O9" s="9">
        <f t="shared" si="6"/>
        <v>612</v>
      </c>
      <c r="P9" s="9">
        <f t="shared" si="7"/>
        <v>612</v>
      </c>
      <c r="Q9" s="9">
        <f t="shared" si="8"/>
        <v>412</v>
      </c>
      <c r="R9" s="9">
        <f t="shared" si="9"/>
        <v>412</v>
      </c>
    </row>
    <row r="10">
      <c r="A10" s="1">
        <f t="shared" si="1"/>
        <v>9</v>
      </c>
      <c r="B10" s="1" t="s">
        <v>20</v>
      </c>
      <c r="C10" s="1" t="s">
        <v>21</v>
      </c>
      <c r="D10" s="1" t="s">
        <v>22</v>
      </c>
      <c r="E10" s="1" t="s">
        <v>23</v>
      </c>
      <c r="F10" s="5">
        <v>1.0</v>
      </c>
      <c r="G10" s="9">
        <f>IFERROR(__xludf.DUMMYFUNCTION("IF(B10="""","""",ROUND(XLOOKUP(B10, FLATTEN(B$1:E9), FLATTEN(O$1:R9), 500, 0, -1)))"),412.0)</f>
        <v>412</v>
      </c>
      <c r="H10" s="9">
        <f>IFERROR(__xludf.DUMMYFUNCTION("IF(C10="""","""",ROUND(XLOOKUP(C10, FLATTEN(B$1:E9), FLATTEN(O$1:R9), 500, 0, -1)))"),412.0)</f>
        <v>412</v>
      </c>
      <c r="I10" s="9">
        <f>IFERROR(__xludf.DUMMYFUNCTION("IF(D10="""","""",ROUND(XLOOKUP(D10, FLATTEN(B$1:E9), FLATTEN(O$1:R9), 500, 0, -1)))"),612.0)</f>
        <v>612</v>
      </c>
      <c r="J10" s="9">
        <f>IFERROR(__xludf.DUMMYFUNCTION("IF(E10="""","""",ROUND(XLOOKUP(E10, FLATTEN(B$1:E9), FLATTEN(O$1:R9), 500, 0, -1)))"),612.0)</f>
        <v>612</v>
      </c>
      <c r="K10" s="9">
        <f t="shared" si="2"/>
        <v>412</v>
      </c>
      <c r="L10" s="9">
        <f t="shared" si="3"/>
        <v>612</v>
      </c>
      <c r="M10" s="32">
        <f t="shared" si="4"/>
        <v>0.24</v>
      </c>
      <c r="N10" s="9">
        <f t="shared" si="5"/>
        <v>30</v>
      </c>
      <c r="O10" s="9">
        <f t="shared" si="6"/>
        <v>445</v>
      </c>
      <c r="P10" s="9">
        <f t="shared" si="7"/>
        <v>445</v>
      </c>
      <c r="Q10" s="9">
        <f t="shared" si="8"/>
        <v>582</v>
      </c>
      <c r="R10" s="9">
        <f t="shared" si="9"/>
        <v>582</v>
      </c>
    </row>
    <row r="11">
      <c r="A11" s="1">
        <f t="shared" si="1"/>
        <v>10</v>
      </c>
      <c r="B11" s="1" t="s">
        <v>48</v>
      </c>
      <c r="C11" s="1" t="s">
        <v>22</v>
      </c>
      <c r="D11" s="1" t="s">
        <v>50</v>
      </c>
      <c r="E11" s="1" t="s">
        <v>21</v>
      </c>
      <c r="F11" s="5">
        <v>1.0</v>
      </c>
      <c r="G11" s="9">
        <f>IFERROR(__xludf.DUMMYFUNCTION("IF(B11="""","""",ROUND(XLOOKUP(B11, FLATTEN(B$1:E10), FLATTEN(O$1:R10), 500, 0, -1)))"),500.0)</f>
        <v>500</v>
      </c>
      <c r="H11" s="9">
        <f>IFERROR(__xludf.DUMMYFUNCTION("IF(C11="""","""",ROUND(XLOOKUP(C11, FLATTEN(B$1:E10), FLATTEN(O$1:R10), 500, 0, -1)))"),582.0)</f>
        <v>582</v>
      </c>
      <c r="I11" s="9">
        <f>IFERROR(__xludf.DUMMYFUNCTION("IF(D11="""","""",ROUND(XLOOKUP(D11, FLATTEN(B$1:E10), FLATTEN(O$1:R10), 500, 0, -1)))"),500.0)</f>
        <v>500</v>
      </c>
      <c r="J11" s="9">
        <f>IFERROR(__xludf.DUMMYFUNCTION("IF(E11="""","""",ROUND(XLOOKUP(E11, FLATTEN(B$1:E10), FLATTEN(O$1:R10), 500, 0, -1)))"),445.0)</f>
        <v>445</v>
      </c>
      <c r="K11" s="9">
        <f t="shared" si="2"/>
        <v>535</v>
      </c>
      <c r="L11" s="9">
        <f t="shared" si="3"/>
        <v>470</v>
      </c>
      <c r="M11" s="32">
        <f t="shared" si="4"/>
        <v>0.59</v>
      </c>
      <c r="N11" s="9">
        <f t="shared" si="5"/>
        <v>16</v>
      </c>
      <c r="O11" s="9">
        <f t="shared" si="6"/>
        <v>519</v>
      </c>
      <c r="P11" s="9">
        <f t="shared" si="7"/>
        <v>601</v>
      </c>
      <c r="Q11" s="9">
        <f t="shared" si="8"/>
        <v>484</v>
      </c>
      <c r="R11" s="9">
        <f t="shared" si="9"/>
        <v>429</v>
      </c>
    </row>
    <row r="12">
      <c r="A12" s="1">
        <f t="shared" si="1"/>
        <v>11</v>
      </c>
      <c r="B12" s="1" t="s">
        <v>59</v>
      </c>
      <c r="C12" s="1" t="s">
        <v>60</v>
      </c>
      <c r="D12" s="1" t="s">
        <v>23</v>
      </c>
      <c r="E12" s="1" t="s">
        <v>57</v>
      </c>
      <c r="F12" s="5">
        <v>1.0</v>
      </c>
      <c r="G12" s="9">
        <f>IFERROR(__xludf.DUMMYFUNCTION("IF(B12="""","""",ROUND(XLOOKUP(B12, FLATTEN(B$1:E11), FLATTEN(O$1:R11), 500, 0, -1)))"),500.0)</f>
        <v>500</v>
      </c>
      <c r="H12" s="9">
        <f>IFERROR(__xludf.DUMMYFUNCTION("IF(C12="""","""",ROUND(XLOOKUP(C12, FLATTEN(B$1:E11), FLATTEN(O$1:R11), 500, 0, -1)))"),500.0)</f>
        <v>500</v>
      </c>
      <c r="I12" s="9">
        <f>IFERROR(__xludf.DUMMYFUNCTION("IF(D12="""","""",ROUND(XLOOKUP(D12, FLATTEN(B$1:E11), FLATTEN(O$1:R11), 500, 0, -1)))"),582.0)</f>
        <v>582</v>
      </c>
      <c r="J12" s="9">
        <f>IFERROR(__xludf.DUMMYFUNCTION("IF(E12="""","""",ROUND(XLOOKUP(E12, FLATTEN(B$1:E11), FLATTEN(O$1:R11), 500, 0, -1)))"),500.0)</f>
        <v>500</v>
      </c>
      <c r="K12" s="9">
        <f t="shared" si="2"/>
        <v>500</v>
      </c>
      <c r="L12" s="9">
        <f t="shared" si="3"/>
        <v>535</v>
      </c>
      <c r="M12" s="32">
        <f t="shared" si="4"/>
        <v>0.45</v>
      </c>
      <c r="N12" s="9">
        <f t="shared" si="5"/>
        <v>22</v>
      </c>
      <c r="O12" s="9">
        <f t="shared" si="6"/>
        <v>525</v>
      </c>
      <c r="P12" s="9">
        <f t="shared" si="7"/>
        <v>525</v>
      </c>
      <c r="Q12" s="9">
        <f t="shared" si="8"/>
        <v>560</v>
      </c>
      <c r="R12" s="9">
        <f t="shared" si="9"/>
        <v>478</v>
      </c>
    </row>
    <row r="13">
      <c r="A13" s="1">
        <f t="shared" si="1"/>
        <v>12</v>
      </c>
      <c r="B13" s="1" t="s">
        <v>59</v>
      </c>
      <c r="C13" s="1" t="s">
        <v>60</v>
      </c>
      <c r="D13" s="1" t="s">
        <v>50</v>
      </c>
      <c r="E13" s="1" t="s">
        <v>21</v>
      </c>
      <c r="F13" s="5">
        <v>1.0</v>
      </c>
      <c r="G13" s="9">
        <f>IFERROR(__xludf.DUMMYFUNCTION("IF(B13="""","""",ROUND(XLOOKUP(B13, FLATTEN(B$1:E12), FLATTEN(O$1:R12), 500, 0, -1)))"),525.0)</f>
        <v>525</v>
      </c>
      <c r="H13" s="9">
        <f>IFERROR(__xludf.DUMMYFUNCTION("IF(C13="""","""",ROUND(XLOOKUP(C13, FLATTEN(B$1:E12), FLATTEN(O$1:R12), 500, 0, -1)))"),525.0)</f>
        <v>525</v>
      </c>
      <c r="I13" s="9">
        <f>IFERROR(__xludf.DUMMYFUNCTION("IF(D13="""","""",ROUND(XLOOKUP(D13, FLATTEN(B$1:E12), FLATTEN(O$1:R12), 500, 0, -1)))"),484.0)</f>
        <v>484</v>
      </c>
      <c r="J13" s="9">
        <f>IFERROR(__xludf.DUMMYFUNCTION("IF(E13="""","""",ROUND(XLOOKUP(E13, FLATTEN(B$1:E12), FLATTEN(O$1:R12), 500, 0, -1)))"),429.0)</f>
        <v>429</v>
      </c>
      <c r="K13" s="9">
        <f t="shared" si="2"/>
        <v>525</v>
      </c>
      <c r="L13" s="9">
        <f t="shared" si="3"/>
        <v>454</v>
      </c>
      <c r="M13" s="32">
        <f t="shared" si="4"/>
        <v>0.6</v>
      </c>
      <c r="N13" s="9">
        <f t="shared" si="5"/>
        <v>16</v>
      </c>
      <c r="O13" s="9">
        <f t="shared" si="6"/>
        <v>544</v>
      </c>
      <c r="P13" s="9">
        <f t="shared" si="7"/>
        <v>544</v>
      </c>
      <c r="Q13" s="9">
        <f t="shared" si="8"/>
        <v>468</v>
      </c>
      <c r="R13" s="9">
        <f t="shared" si="9"/>
        <v>413</v>
      </c>
    </row>
    <row r="14">
      <c r="A14" s="1">
        <f t="shared" si="1"/>
        <v>13</v>
      </c>
      <c r="B14" s="1" t="s">
        <v>23</v>
      </c>
      <c r="C14" s="1" t="s">
        <v>57</v>
      </c>
      <c r="D14" s="1" t="s">
        <v>48</v>
      </c>
      <c r="E14" s="1" t="s">
        <v>22</v>
      </c>
      <c r="F14" s="5">
        <v>1.0</v>
      </c>
      <c r="G14" s="9">
        <f>IFERROR(__xludf.DUMMYFUNCTION("IF(B14="""","""",ROUND(XLOOKUP(B14, FLATTEN(B$1:E13), FLATTEN(O$1:R13), 500, 0, -1)))"),560.0)</f>
        <v>560</v>
      </c>
      <c r="H14" s="9">
        <f>IFERROR(__xludf.DUMMYFUNCTION("IF(C14="""","""",ROUND(XLOOKUP(C14, FLATTEN(B$1:E13), FLATTEN(O$1:R13), 500, 0, -1)))"),478.0)</f>
        <v>478</v>
      </c>
      <c r="I14" s="9">
        <f>IFERROR(__xludf.DUMMYFUNCTION("IF(D14="""","""",ROUND(XLOOKUP(D14, FLATTEN(B$1:E13), FLATTEN(O$1:R13), 500, 0, -1)))"),519.0)</f>
        <v>519</v>
      </c>
      <c r="J14" s="9">
        <f>IFERROR(__xludf.DUMMYFUNCTION("IF(E14="""","""",ROUND(XLOOKUP(E14, FLATTEN(B$1:E13), FLATTEN(O$1:R13), 500, 0, -1)))"),601.0)</f>
        <v>601</v>
      </c>
      <c r="K14" s="9">
        <f t="shared" si="2"/>
        <v>513</v>
      </c>
      <c r="L14" s="9">
        <f t="shared" si="3"/>
        <v>554</v>
      </c>
      <c r="M14" s="32">
        <f t="shared" si="4"/>
        <v>0.44</v>
      </c>
      <c r="N14" s="9">
        <f t="shared" si="5"/>
        <v>22</v>
      </c>
      <c r="O14" s="9">
        <f t="shared" si="6"/>
        <v>585</v>
      </c>
      <c r="P14" s="9">
        <f t="shared" si="7"/>
        <v>503</v>
      </c>
      <c r="Q14" s="9">
        <f t="shared" si="8"/>
        <v>497</v>
      </c>
      <c r="R14" s="9">
        <f t="shared" si="9"/>
        <v>579</v>
      </c>
    </row>
    <row r="15">
      <c r="A15" s="1">
        <f t="shared" si="1"/>
        <v>14</v>
      </c>
      <c r="B15" s="1" t="s">
        <v>23</v>
      </c>
      <c r="C15" s="1" t="s">
        <v>57</v>
      </c>
      <c r="D15" s="1" t="s">
        <v>50</v>
      </c>
      <c r="E15" s="1" t="s">
        <v>21</v>
      </c>
      <c r="F15" s="5">
        <v>1.0</v>
      </c>
      <c r="G15" s="9">
        <f>IFERROR(__xludf.DUMMYFUNCTION("IF(B15="""","""",ROUND(XLOOKUP(B15, FLATTEN(B$1:E14), FLATTEN(O$1:R14), 500, 0, -1)))"),585.0)</f>
        <v>585</v>
      </c>
      <c r="H15" s="9">
        <f>IFERROR(__xludf.DUMMYFUNCTION("IF(C15="""","""",ROUND(XLOOKUP(C15, FLATTEN(B$1:E14), FLATTEN(O$1:R14), 500, 0, -1)))"),503.0)</f>
        <v>503</v>
      </c>
      <c r="I15" s="9">
        <f>IFERROR(__xludf.DUMMYFUNCTION("IF(D15="""","""",ROUND(XLOOKUP(D15, FLATTEN(B$1:E14), FLATTEN(O$1:R14), 500, 0, -1)))"),468.0)</f>
        <v>468</v>
      </c>
      <c r="J15" s="9">
        <f>IFERROR(__xludf.DUMMYFUNCTION("IF(E15="""","""",ROUND(XLOOKUP(E15, FLATTEN(B$1:E14), FLATTEN(O$1:R14), 500, 0, -1)))"),413.0)</f>
        <v>413</v>
      </c>
      <c r="K15" s="9">
        <f t="shared" si="2"/>
        <v>538</v>
      </c>
      <c r="L15" s="9">
        <f t="shared" si="3"/>
        <v>438</v>
      </c>
      <c r="M15" s="32">
        <f t="shared" si="4"/>
        <v>0.64</v>
      </c>
      <c r="N15" s="9">
        <f t="shared" si="5"/>
        <v>14</v>
      </c>
      <c r="O15" s="9">
        <f t="shared" si="6"/>
        <v>602</v>
      </c>
      <c r="P15" s="9">
        <f t="shared" si="7"/>
        <v>520</v>
      </c>
      <c r="Q15" s="9">
        <f t="shared" si="8"/>
        <v>454</v>
      </c>
      <c r="R15" s="9">
        <f t="shared" si="9"/>
        <v>399</v>
      </c>
    </row>
    <row r="16">
      <c r="A16" s="1">
        <f t="shared" si="1"/>
        <v>15</v>
      </c>
      <c r="B16" s="1" t="s">
        <v>48</v>
      </c>
      <c r="C16" s="1" t="s">
        <v>22</v>
      </c>
      <c r="D16" s="1" t="s">
        <v>59</v>
      </c>
      <c r="E16" s="1" t="s">
        <v>60</v>
      </c>
      <c r="F16" s="5">
        <v>1.0</v>
      </c>
      <c r="G16" s="9">
        <f>IFERROR(__xludf.DUMMYFUNCTION("IF(B16="""","""",ROUND(XLOOKUP(B16, FLATTEN(B$1:E15), FLATTEN(O$1:R15), 500, 0, -1)))"),497.0)</f>
        <v>497</v>
      </c>
      <c r="H16" s="9">
        <f>IFERROR(__xludf.DUMMYFUNCTION("IF(C16="""","""",ROUND(XLOOKUP(C16, FLATTEN(B$1:E15), FLATTEN(O$1:R15), 500, 0, -1)))"),579.0)</f>
        <v>579</v>
      </c>
      <c r="I16" s="9">
        <f>IFERROR(__xludf.DUMMYFUNCTION("IF(D16="""","""",ROUND(XLOOKUP(D16, FLATTEN(B$1:E15), FLATTEN(O$1:R15), 500, 0, -1)))"),544.0)</f>
        <v>544</v>
      </c>
      <c r="J16" s="9">
        <f>IFERROR(__xludf.DUMMYFUNCTION("IF(E16="""","""",ROUND(XLOOKUP(E16, FLATTEN(B$1:E15), FLATTEN(O$1:R15), 500, 0, -1)))"),544.0)</f>
        <v>544</v>
      </c>
      <c r="K16" s="9">
        <f t="shared" si="2"/>
        <v>532</v>
      </c>
      <c r="L16" s="9">
        <f t="shared" si="3"/>
        <v>544</v>
      </c>
      <c r="M16" s="32">
        <f t="shared" si="4"/>
        <v>0.48</v>
      </c>
      <c r="N16" s="9">
        <f t="shared" si="5"/>
        <v>21</v>
      </c>
      <c r="O16" s="9">
        <f t="shared" si="6"/>
        <v>521</v>
      </c>
      <c r="P16" s="9">
        <f t="shared" si="7"/>
        <v>603</v>
      </c>
      <c r="Q16" s="9">
        <f t="shared" si="8"/>
        <v>523</v>
      </c>
      <c r="R16" s="9">
        <f t="shared" si="9"/>
        <v>523</v>
      </c>
    </row>
    <row r="17">
      <c r="A17" s="1">
        <f t="shared" si="1"/>
        <v>16</v>
      </c>
      <c r="B17" s="1" t="s">
        <v>50</v>
      </c>
      <c r="C17" s="1" t="s">
        <v>21</v>
      </c>
      <c r="D17" s="1" t="s">
        <v>59</v>
      </c>
      <c r="E17" s="1" t="s">
        <v>60</v>
      </c>
      <c r="F17" s="5">
        <v>1.0</v>
      </c>
      <c r="G17" s="9">
        <f>IFERROR(__xludf.DUMMYFUNCTION("IF(B17="""","""",ROUND(XLOOKUP(B17, FLATTEN(B$1:E16), FLATTEN(O$1:R16), 500, 0, -1)))"),454.0)</f>
        <v>454</v>
      </c>
      <c r="H17" s="9">
        <f>IFERROR(__xludf.DUMMYFUNCTION("IF(C17="""","""",ROUND(XLOOKUP(C17, FLATTEN(B$1:E16), FLATTEN(O$1:R16), 500, 0, -1)))"),399.0)</f>
        <v>399</v>
      </c>
      <c r="I17" s="9">
        <f>IFERROR(__xludf.DUMMYFUNCTION("IF(D17="""","""",ROUND(XLOOKUP(D17, FLATTEN(B$1:E16), FLATTEN(O$1:R16), 500, 0, -1)))"),523.0)</f>
        <v>523</v>
      </c>
      <c r="J17" s="9">
        <f>IFERROR(__xludf.DUMMYFUNCTION("IF(E17="""","""",ROUND(XLOOKUP(E17, FLATTEN(B$1:E16), FLATTEN(O$1:R16), 500, 0, -1)))"),523.0)</f>
        <v>523</v>
      </c>
      <c r="K17" s="9">
        <f t="shared" si="2"/>
        <v>424</v>
      </c>
      <c r="L17" s="9">
        <f t="shared" si="3"/>
        <v>523</v>
      </c>
      <c r="M17" s="32">
        <f t="shared" si="4"/>
        <v>0.36</v>
      </c>
      <c r="N17" s="9">
        <f t="shared" si="5"/>
        <v>26</v>
      </c>
      <c r="O17" s="9">
        <f t="shared" si="6"/>
        <v>483</v>
      </c>
      <c r="P17" s="9">
        <f t="shared" si="7"/>
        <v>428</v>
      </c>
      <c r="Q17" s="9">
        <f t="shared" si="8"/>
        <v>497</v>
      </c>
      <c r="R17" s="9">
        <f t="shared" si="9"/>
        <v>497</v>
      </c>
    </row>
    <row r="18">
      <c r="A18" s="1">
        <f t="shared" si="1"/>
        <v>17</v>
      </c>
      <c r="B18" s="1" t="s">
        <v>48</v>
      </c>
      <c r="C18" s="1" t="s">
        <v>22</v>
      </c>
      <c r="D18" s="1" t="s">
        <v>23</v>
      </c>
      <c r="E18" s="1" t="s">
        <v>57</v>
      </c>
      <c r="F18" s="5">
        <v>1.0</v>
      </c>
      <c r="G18" s="9">
        <f>IFERROR(__xludf.DUMMYFUNCTION("IF(B18="""","""",ROUND(XLOOKUP(B18, FLATTEN(B$1:E17), FLATTEN(O$1:R17), 500, 0, -1)))"),521.0)</f>
        <v>521</v>
      </c>
      <c r="H18" s="9">
        <f>IFERROR(__xludf.DUMMYFUNCTION("IF(C18="""","""",ROUND(XLOOKUP(C18, FLATTEN(B$1:E17), FLATTEN(O$1:R17), 500, 0, -1)))"),603.0)</f>
        <v>603</v>
      </c>
      <c r="I18" s="9">
        <f>IFERROR(__xludf.DUMMYFUNCTION("IF(D18="""","""",ROUND(XLOOKUP(D18, FLATTEN(B$1:E17), FLATTEN(O$1:R17), 500, 0, -1)))"),602.0)</f>
        <v>602</v>
      </c>
      <c r="J18" s="9">
        <f>IFERROR(__xludf.DUMMYFUNCTION("IF(E18="""","""",ROUND(XLOOKUP(E18, FLATTEN(B$1:E17), FLATTEN(O$1:R17), 500, 0, -1)))"),520.0)</f>
        <v>520</v>
      </c>
      <c r="K18" s="9">
        <f t="shared" si="2"/>
        <v>556</v>
      </c>
      <c r="L18" s="9">
        <f t="shared" si="3"/>
        <v>555</v>
      </c>
      <c r="M18" s="32">
        <f t="shared" si="4"/>
        <v>0.5</v>
      </c>
      <c r="N18" s="9">
        <f t="shared" si="5"/>
        <v>20</v>
      </c>
      <c r="O18" s="9">
        <f t="shared" si="6"/>
        <v>544</v>
      </c>
      <c r="P18" s="9">
        <f t="shared" si="7"/>
        <v>626</v>
      </c>
      <c r="Q18" s="9">
        <f t="shared" si="8"/>
        <v>582</v>
      </c>
      <c r="R18" s="9">
        <f t="shared" si="9"/>
        <v>500</v>
      </c>
    </row>
    <row r="19">
      <c r="A19" s="1">
        <f t="shared" si="1"/>
        <v>18</v>
      </c>
      <c r="B19" s="1" t="s">
        <v>50</v>
      </c>
      <c r="C19" s="1" t="s">
        <v>21</v>
      </c>
      <c r="D19" s="1" t="s">
        <v>48</v>
      </c>
      <c r="E19" s="1" t="s">
        <v>22</v>
      </c>
      <c r="F19" s="5">
        <v>1.0</v>
      </c>
      <c r="G19" s="9">
        <f>IFERROR(__xludf.DUMMYFUNCTION("IF(B19="""","""",ROUND(XLOOKUP(B19, FLATTEN(B$1:E18), FLATTEN(O$1:R18), 500, 0, -1)))"),483.0)</f>
        <v>483</v>
      </c>
      <c r="H19" s="9">
        <f>IFERROR(__xludf.DUMMYFUNCTION("IF(C19="""","""",ROUND(XLOOKUP(C19, FLATTEN(B$1:E18), FLATTEN(O$1:R18), 500, 0, -1)))"),428.0)</f>
        <v>428</v>
      </c>
      <c r="I19" s="9">
        <f>IFERROR(__xludf.DUMMYFUNCTION("IF(D19="""","""",ROUND(XLOOKUP(D19, FLATTEN(B$1:E18), FLATTEN(O$1:R18), 500, 0, -1)))"),544.0)</f>
        <v>544</v>
      </c>
      <c r="J19" s="9">
        <f>IFERROR(__xludf.DUMMYFUNCTION("IF(E19="""","""",ROUND(XLOOKUP(E19, FLATTEN(B$1:E18), FLATTEN(O$1:R18), 500, 0, -1)))"),626.0)</f>
        <v>626</v>
      </c>
      <c r="K19" s="9">
        <f t="shared" si="2"/>
        <v>453</v>
      </c>
      <c r="L19" s="9">
        <f t="shared" si="3"/>
        <v>579</v>
      </c>
      <c r="M19" s="32">
        <f t="shared" si="4"/>
        <v>0.33</v>
      </c>
      <c r="N19" s="9">
        <f t="shared" si="5"/>
        <v>27</v>
      </c>
      <c r="O19" s="9">
        <f t="shared" si="6"/>
        <v>513</v>
      </c>
      <c r="P19" s="9">
        <f t="shared" si="7"/>
        <v>458</v>
      </c>
      <c r="Q19" s="9">
        <f t="shared" si="8"/>
        <v>517</v>
      </c>
      <c r="R19" s="9">
        <f t="shared" si="9"/>
        <v>599</v>
      </c>
    </row>
    <row r="20">
      <c r="A20" s="1">
        <f t="shared" si="1"/>
        <v>19</v>
      </c>
      <c r="B20" s="1" t="s">
        <v>59</v>
      </c>
      <c r="C20" s="1" t="s">
        <v>60</v>
      </c>
      <c r="D20" s="1" t="s">
        <v>23</v>
      </c>
      <c r="E20" s="1" t="s">
        <v>57</v>
      </c>
      <c r="F20" s="5">
        <v>1.0</v>
      </c>
      <c r="G20" s="9">
        <f>IFERROR(__xludf.DUMMYFUNCTION("IF(B20="""","""",ROUND(XLOOKUP(B20, FLATTEN(B$1:E19), FLATTEN(O$1:R19), 500, 0, -1)))"),497.0)</f>
        <v>497</v>
      </c>
      <c r="H20" s="9">
        <f>IFERROR(__xludf.DUMMYFUNCTION("IF(C20="""","""",ROUND(XLOOKUP(C20, FLATTEN(B$1:E19), FLATTEN(O$1:R19), 500, 0, -1)))"),497.0)</f>
        <v>497</v>
      </c>
      <c r="I20" s="9">
        <f>IFERROR(__xludf.DUMMYFUNCTION("IF(D20="""","""",ROUND(XLOOKUP(D20, FLATTEN(B$1:E19), FLATTEN(O$1:R19), 500, 0, -1)))"),582.0)</f>
        <v>582</v>
      </c>
      <c r="J20" s="9">
        <f>IFERROR(__xludf.DUMMYFUNCTION("IF(E20="""","""",ROUND(XLOOKUP(E20, FLATTEN(B$1:E19), FLATTEN(O$1:R19), 500, 0, -1)))"),500.0)</f>
        <v>500</v>
      </c>
      <c r="K20" s="9">
        <f t="shared" si="2"/>
        <v>497</v>
      </c>
      <c r="L20" s="9">
        <f t="shared" si="3"/>
        <v>535</v>
      </c>
      <c r="M20" s="32">
        <f t="shared" si="4"/>
        <v>0.45</v>
      </c>
      <c r="N20" s="9">
        <f t="shared" si="5"/>
        <v>22</v>
      </c>
      <c r="O20" s="9">
        <f t="shared" si="6"/>
        <v>522</v>
      </c>
      <c r="P20" s="9">
        <f t="shared" si="7"/>
        <v>522</v>
      </c>
      <c r="Q20" s="9">
        <f t="shared" si="8"/>
        <v>560</v>
      </c>
      <c r="R20" s="9">
        <f t="shared" si="9"/>
        <v>478</v>
      </c>
    </row>
    <row r="21">
      <c r="A21" s="1">
        <f t="shared" si="1"/>
        <v>20</v>
      </c>
      <c r="B21" s="1" t="s">
        <v>50</v>
      </c>
      <c r="C21" s="1" t="s">
        <v>21</v>
      </c>
      <c r="D21" s="1" t="s">
        <v>23</v>
      </c>
      <c r="E21" s="1" t="s">
        <v>57</v>
      </c>
      <c r="F21" s="5">
        <v>1.0</v>
      </c>
      <c r="G21" s="9">
        <f>IFERROR(__xludf.DUMMYFUNCTION("IF(B21="""","""",ROUND(XLOOKUP(B21, FLATTEN(B$1:E20), FLATTEN(O$1:R20), 500, 0, -1)))"),513.0)</f>
        <v>513</v>
      </c>
      <c r="H21" s="9">
        <f>IFERROR(__xludf.DUMMYFUNCTION("IF(C21="""","""",ROUND(XLOOKUP(C21, FLATTEN(B$1:E20), FLATTEN(O$1:R20), 500, 0, -1)))"),458.0)</f>
        <v>458</v>
      </c>
      <c r="I21" s="9">
        <f>IFERROR(__xludf.DUMMYFUNCTION("IF(D21="""","""",ROUND(XLOOKUP(D21, FLATTEN(B$1:E20), FLATTEN(O$1:R20), 500, 0, -1)))"),560.0)</f>
        <v>560</v>
      </c>
      <c r="J21" s="9">
        <f>IFERROR(__xludf.DUMMYFUNCTION("IF(E21="""","""",ROUND(XLOOKUP(E21, FLATTEN(B$1:E20), FLATTEN(O$1:R20), 500, 0, -1)))"),478.0)</f>
        <v>478</v>
      </c>
      <c r="K21" s="9">
        <f t="shared" si="2"/>
        <v>483</v>
      </c>
      <c r="L21" s="9">
        <f t="shared" si="3"/>
        <v>513</v>
      </c>
      <c r="M21" s="32">
        <f t="shared" si="4"/>
        <v>0.46</v>
      </c>
      <c r="N21" s="9">
        <f t="shared" si="5"/>
        <v>22</v>
      </c>
      <c r="O21" s="9">
        <f t="shared" si="6"/>
        <v>538</v>
      </c>
      <c r="P21" s="9">
        <f t="shared" si="7"/>
        <v>483</v>
      </c>
      <c r="Q21" s="9">
        <f t="shared" si="8"/>
        <v>538</v>
      </c>
      <c r="R21" s="9">
        <f t="shared" si="9"/>
        <v>456</v>
      </c>
    </row>
    <row r="22">
      <c r="A22" s="1">
        <f t="shared" si="1"/>
        <v>21</v>
      </c>
      <c r="B22" s="1" t="s">
        <v>59</v>
      </c>
      <c r="C22" s="1" t="s">
        <v>60</v>
      </c>
      <c r="D22" s="1" t="s">
        <v>48</v>
      </c>
      <c r="E22" s="1" t="s">
        <v>22</v>
      </c>
      <c r="F22" s="5">
        <v>1.0</v>
      </c>
      <c r="G22" s="9">
        <f>IFERROR(__xludf.DUMMYFUNCTION("IF(B22="""","""",ROUND(XLOOKUP(B22, FLATTEN(B$1:E21), FLATTEN(O$1:R21), 500, 0, -1)))"),522.0)</f>
        <v>522</v>
      </c>
      <c r="H22" s="9">
        <f>IFERROR(__xludf.DUMMYFUNCTION("IF(C22="""","""",ROUND(XLOOKUP(C22, FLATTEN(B$1:E21), FLATTEN(O$1:R21), 500, 0, -1)))"),522.0)</f>
        <v>522</v>
      </c>
      <c r="I22" s="9">
        <f>IFERROR(__xludf.DUMMYFUNCTION("IF(D22="""","""",ROUND(XLOOKUP(D22, FLATTEN(B$1:E21), FLATTEN(O$1:R21), 500, 0, -1)))"),517.0)</f>
        <v>517</v>
      </c>
      <c r="J22" s="9">
        <f>IFERROR(__xludf.DUMMYFUNCTION("IF(E22="""","""",ROUND(XLOOKUP(E22, FLATTEN(B$1:E21), FLATTEN(O$1:R21), 500, 0, -1)))"),599.0)</f>
        <v>599</v>
      </c>
      <c r="K22" s="9">
        <f t="shared" si="2"/>
        <v>522</v>
      </c>
      <c r="L22" s="9">
        <f t="shared" si="3"/>
        <v>552</v>
      </c>
      <c r="M22" s="32">
        <f t="shared" si="4"/>
        <v>0.46</v>
      </c>
      <c r="N22" s="9">
        <f t="shared" si="5"/>
        <v>22</v>
      </c>
      <c r="O22" s="9">
        <f t="shared" si="6"/>
        <v>547</v>
      </c>
      <c r="P22" s="9">
        <f t="shared" si="7"/>
        <v>547</v>
      </c>
      <c r="Q22" s="9">
        <f t="shared" si="8"/>
        <v>495</v>
      </c>
      <c r="R22" s="9">
        <f t="shared" si="9"/>
        <v>577</v>
      </c>
    </row>
    <row r="23">
      <c r="A23" s="1">
        <f t="shared" si="1"/>
        <v>22</v>
      </c>
      <c r="B23" s="1" t="s">
        <v>50</v>
      </c>
      <c r="C23" s="1" t="s">
        <v>21</v>
      </c>
      <c r="D23" s="1" t="s">
        <v>59</v>
      </c>
      <c r="E23" s="1" t="s">
        <v>60</v>
      </c>
      <c r="F23" s="5">
        <v>1.0</v>
      </c>
      <c r="G23" s="9">
        <f>IFERROR(__xludf.DUMMYFUNCTION("IF(B23="""","""",ROUND(XLOOKUP(B23, FLATTEN(B$1:E22), FLATTEN(O$1:R22), 500, 0, -1)))"),538.0)</f>
        <v>538</v>
      </c>
      <c r="H23" s="9">
        <f>IFERROR(__xludf.DUMMYFUNCTION("IF(C23="""","""",ROUND(XLOOKUP(C23, FLATTEN(B$1:E22), FLATTEN(O$1:R22), 500, 0, -1)))"),483.0)</f>
        <v>483</v>
      </c>
      <c r="I23" s="9">
        <f>IFERROR(__xludf.DUMMYFUNCTION("IF(D23="""","""",ROUND(XLOOKUP(D23, FLATTEN(B$1:E22), FLATTEN(O$1:R22), 500, 0, -1)))"),547.0)</f>
        <v>547</v>
      </c>
      <c r="J23" s="9">
        <f>IFERROR(__xludf.DUMMYFUNCTION("IF(E23="""","""",ROUND(XLOOKUP(E23, FLATTEN(B$1:E22), FLATTEN(O$1:R22), 500, 0, -1)))"),547.0)</f>
        <v>547</v>
      </c>
      <c r="K23" s="9">
        <f t="shared" si="2"/>
        <v>508</v>
      </c>
      <c r="L23" s="9">
        <f t="shared" si="3"/>
        <v>547</v>
      </c>
      <c r="M23" s="32">
        <f t="shared" si="4"/>
        <v>0.44</v>
      </c>
      <c r="N23" s="9">
        <f t="shared" si="5"/>
        <v>22</v>
      </c>
      <c r="O23" s="9">
        <f t="shared" si="6"/>
        <v>563</v>
      </c>
      <c r="P23" s="9">
        <f t="shared" si="7"/>
        <v>508</v>
      </c>
      <c r="Q23" s="9">
        <f t="shared" si="8"/>
        <v>525</v>
      </c>
      <c r="R23" s="9">
        <f t="shared" si="9"/>
        <v>525</v>
      </c>
    </row>
    <row r="24">
      <c r="A24" s="1">
        <f t="shared" si="1"/>
        <v>23</v>
      </c>
      <c r="B24" s="1" t="s">
        <v>23</v>
      </c>
      <c r="C24" s="1" t="s">
        <v>57</v>
      </c>
      <c r="D24" s="1" t="s">
        <v>48</v>
      </c>
      <c r="E24" s="1" t="s">
        <v>22</v>
      </c>
      <c r="F24" s="5">
        <v>1.0</v>
      </c>
      <c r="G24" s="9">
        <f>IFERROR(__xludf.DUMMYFUNCTION("IF(B24="""","""",ROUND(XLOOKUP(B24, FLATTEN(B$1:E23), FLATTEN(O$1:R23), 500, 0, -1)))"),538.0)</f>
        <v>538</v>
      </c>
      <c r="H24" s="9">
        <f>IFERROR(__xludf.DUMMYFUNCTION("IF(C24="""","""",ROUND(XLOOKUP(C24, FLATTEN(B$1:E23), FLATTEN(O$1:R23), 500, 0, -1)))"),456.0)</f>
        <v>456</v>
      </c>
      <c r="I24" s="9">
        <f>IFERROR(__xludf.DUMMYFUNCTION("IF(D24="""","""",ROUND(XLOOKUP(D24, FLATTEN(B$1:E23), FLATTEN(O$1:R23), 500, 0, -1)))"),495.0)</f>
        <v>495</v>
      </c>
      <c r="J24" s="9">
        <f>IFERROR(__xludf.DUMMYFUNCTION("IF(E24="""","""",ROUND(XLOOKUP(E24, FLATTEN(B$1:E23), FLATTEN(O$1:R23), 500, 0, -1)))"),577.0)</f>
        <v>577</v>
      </c>
      <c r="K24" s="9">
        <f t="shared" si="2"/>
        <v>491</v>
      </c>
      <c r="L24" s="9">
        <f t="shared" si="3"/>
        <v>530</v>
      </c>
      <c r="M24" s="32">
        <f t="shared" si="4"/>
        <v>0.44</v>
      </c>
      <c r="N24" s="9">
        <f t="shared" si="5"/>
        <v>22</v>
      </c>
      <c r="O24" s="9">
        <f t="shared" si="6"/>
        <v>563</v>
      </c>
      <c r="P24" s="9">
        <f t="shared" si="7"/>
        <v>481</v>
      </c>
      <c r="Q24" s="9">
        <f t="shared" si="8"/>
        <v>473</v>
      </c>
      <c r="R24" s="9">
        <f t="shared" si="9"/>
        <v>555</v>
      </c>
    </row>
    <row r="25">
      <c r="A25" s="1">
        <f t="shared" si="1"/>
        <v>24</v>
      </c>
      <c r="B25" s="1" t="s">
        <v>22</v>
      </c>
      <c r="C25" s="1" t="s">
        <v>21</v>
      </c>
      <c r="D25" s="1" t="s">
        <v>47</v>
      </c>
      <c r="E25" s="1" t="s">
        <v>68</v>
      </c>
      <c r="F25" s="5">
        <v>1.0</v>
      </c>
      <c r="G25" s="9">
        <f>IFERROR(__xludf.DUMMYFUNCTION("IF(B25="""","""",ROUND(XLOOKUP(B25, FLATTEN(B$1:E24), FLATTEN(O$1:R24), 500, 0, -1)))"),555.0)</f>
        <v>555</v>
      </c>
      <c r="H25" s="9">
        <f>IFERROR(__xludf.DUMMYFUNCTION("IF(C25="""","""",ROUND(XLOOKUP(C25, FLATTEN(B$1:E24), FLATTEN(O$1:R24), 500, 0, -1)))"),508.0)</f>
        <v>508</v>
      </c>
      <c r="I25" s="9">
        <f>IFERROR(__xludf.DUMMYFUNCTION("IF(D25="""","""",ROUND(XLOOKUP(D25, FLATTEN(B$1:E24), FLATTEN(O$1:R24), 500, 0, -1)))"),500.0)</f>
        <v>500</v>
      </c>
      <c r="J25" s="9">
        <f>IFERROR(__xludf.DUMMYFUNCTION("IF(E25="""","""",ROUND(XLOOKUP(E25, FLATTEN(B$1:E24), FLATTEN(O$1:R24), 500, 0, -1)))"),500.0)</f>
        <v>500</v>
      </c>
      <c r="K25" s="9">
        <f t="shared" si="2"/>
        <v>530</v>
      </c>
      <c r="L25" s="9">
        <f t="shared" si="3"/>
        <v>500</v>
      </c>
      <c r="M25" s="32">
        <f t="shared" si="4"/>
        <v>0.54</v>
      </c>
      <c r="N25" s="9">
        <f t="shared" si="5"/>
        <v>18</v>
      </c>
      <c r="O25" s="9">
        <f t="shared" si="6"/>
        <v>576</v>
      </c>
      <c r="P25" s="9">
        <f t="shared" si="7"/>
        <v>529</v>
      </c>
      <c r="Q25" s="9">
        <f t="shared" si="8"/>
        <v>482</v>
      </c>
      <c r="R25" s="9">
        <f t="shared" si="9"/>
        <v>482</v>
      </c>
    </row>
    <row r="26">
      <c r="A26" s="1">
        <f t="shared" si="1"/>
        <v>25</v>
      </c>
      <c r="B26" s="1" t="s">
        <v>20</v>
      </c>
      <c r="C26" s="1" t="s">
        <v>75</v>
      </c>
      <c r="D26" s="1" t="s">
        <v>23</v>
      </c>
      <c r="E26" s="1" t="s">
        <v>48</v>
      </c>
      <c r="F26" s="5">
        <v>1.0</v>
      </c>
      <c r="G26" s="9">
        <f>IFERROR(__xludf.DUMMYFUNCTION("IF(B26="""","""",ROUND(XLOOKUP(B26, FLATTEN(B$1:E25), FLATTEN(O$1:R25), 500, 0, -1)))"),445.0)</f>
        <v>445</v>
      </c>
      <c r="H26" s="9">
        <f>IFERROR(__xludf.DUMMYFUNCTION("IF(C26="""","""",ROUND(XLOOKUP(C26, FLATTEN(B$1:E25), FLATTEN(O$1:R25), 500, 0, -1)))"),500.0)</f>
        <v>500</v>
      </c>
      <c r="I26" s="9">
        <f>IFERROR(__xludf.DUMMYFUNCTION("IF(D26="""","""",ROUND(XLOOKUP(D26, FLATTEN(B$1:E25), FLATTEN(O$1:R25), 500, 0, -1)))"),563.0)</f>
        <v>563</v>
      </c>
      <c r="J26" s="9">
        <f>IFERROR(__xludf.DUMMYFUNCTION("IF(E26="""","""",ROUND(XLOOKUP(E26, FLATTEN(B$1:E25), FLATTEN(O$1:R25), 500, 0, -1)))"),473.0)</f>
        <v>473</v>
      </c>
      <c r="K26" s="9">
        <f t="shared" si="2"/>
        <v>470</v>
      </c>
      <c r="L26" s="9">
        <f t="shared" si="3"/>
        <v>511</v>
      </c>
      <c r="M26" s="32">
        <f t="shared" si="4"/>
        <v>0.44</v>
      </c>
      <c r="N26" s="9">
        <f t="shared" si="5"/>
        <v>22</v>
      </c>
      <c r="O26" s="9">
        <f t="shared" si="6"/>
        <v>470</v>
      </c>
      <c r="P26" s="9">
        <f t="shared" si="7"/>
        <v>525</v>
      </c>
      <c r="Q26" s="9">
        <f t="shared" si="8"/>
        <v>541</v>
      </c>
      <c r="R26" s="9">
        <f t="shared" si="9"/>
        <v>451</v>
      </c>
    </row>
    <row r="27">
      <c r="A27" s="1">
        <f t="shared" si="1"/>
        <v>26</v>
      </c>
      <c r="B27" s="1" t="s">
        <v>47</v>
      </c>
      <c r="C27" s="1" t="s">
        <v>68</v>
      </c>
      <c r="D27" s="1" t="s">
        <v>23</v>
      </c>
      <c r="E27" s="1" t="s">
        <v>48</v>
      </c>
      <c r="F27" s="5">
        <v>1.0</v>
      </c>
      <c r="G27" s="9">
        <f>IFERROR(__xludf.DUMMYFUNCTION("IF(B27="""","""",ROUND(XLOOKUP(B27, FLATTEN(B$1:E26), FLATTEN(O$1:R26), 500, 0, -1)))"),482.0)</f>
        <v>482</v>
      </c>
      <c r="H27" s="9">
        <f>IFERROR(__xludf.DUMMYFUNCTION("IF(C27="""","""",ROUND(XLOOKUP(C27, FLATTEN(B$1:E26), FLATTEN(O$1:R26), 500, 0, -1)))"),482.0)</f>
        <v>482</v>
      </c>
      <c r="I27" s="9">
        <f>IFERROR(__xludf.DUMMYFUNCTION("IF(D27="""","""",ROUND(XLOOKUP(D27, FLATTEN(B$1:E26), FLATTEN(O$1:R26), 500, 0, -1)))"),541.0)</f>
        <v>541</v>
      </c>
      <c r="J27" s="9">
        <f>IFERROR(__xludf.DUMMYFUNCTION("IF(E27="""","""",ROUND(XLOOKUP(E27, FLATTEN(B$1:E26), FLATTEN(O$1:R26), 500, 0, -1)))"),451.0)</f>
        <v>451</v>
      </c>
      <c r="K27" s="9">
        <f t="shared" si="2"/>
        <v>482</v>
      </c>
      <c r="L27" s="9">
        <f t="shared" si="3"/>
        <v>489</v>
      </c>
      <c r="M27" s="32">
        <f t="shared" si="4"/>
        <v>0.49</v>
      </c>
      <c r="N27" s="9">
        <f t="shared" si="5"/>
        <v>20</v>
      </c>
      <c r="O27" s="9">
        <f t="shared" si="6"/>
        <v>505</v>
      </c>
      <c r="P27" s="9">
        <f t="shared" si="7"/>
        <v>505</v>
      </c>
      <c r="Q27" s="9">
        <f t="shared" si="8"/>
        <v>521</v>
      </c>
      <c r="R27" s="9">
        <f t="shared" si="9"/>
        <v>431</v>
      </c>
    </row>
    <row r="28">
      <c r="A28" s="1">
        <f t="shared" si="1"/>
        <v>27</v>
      </c>
      <c r="B28" s="1" t="s">
        <v>22</v>
      </c>
      <c r="C28" s="1" t="s">
        <v>21</v>
      </c>
      <c r="D28" s="1" t="s">
        <v>20</v>
      </c>
      <c r="E28" s="1" t="s">
        <v>75</v>
      </c>
      <c r="F28" s="5">
        <v>1.0</v>
      </c>
      <c r="G28" s="9">
        <f>IFERROR(__xludf.DUMMYFUNCTION("IF(B28="""","""",ROUND(XLOOKUP(B28, FLATTEN(B$1:E27), FLATTEN(O$1:R27), 500, 0, -1)))"),576.0)</f>
        <v>576</v>
      </c>
      <c r="H28" s="9">
        <f>IFERROR(__xludf.DUMMYFUNCTION("IF(C28="""","""",ROUND(XLOOKUP(C28, FLATTEN(B$1:E27), FLATTEN(O$1:R27), 500, 0, -1)))"),529.0)</f>
        <v>529</v>
      </c>
      <c r="I28" s="9">
        <f>IFERROR(__xludf.DUMMYFUNCTION("IF(D28="""","""",ROUND(XLOOKUP(D28, FLATTEN(B$1:E27), FLATTEN(O$1:R27), 500, 0, -1)))"),470.0)</f>
        <v>470</v>
      </c>
      <c r="J28" s="9">
        <f>IFERROR(__xludf.DUMMYFUNCTION("IF(E28="""","""",ROUND(XLOOKUP(E28, FLATTEN(B$1:E27), FLATTEN(O$1:R27), 500, 0, -1)))"),525.0)</f>
        <v>525</v>
      </c>
      <c r="K28" s="9">
        <f t="shared" si="2"/>
        <v>551</v>
      </c>
      <c r="L28" s="9">
        <f t="shared" si="3"/>
        <v>495</v>
      </c>
      <c r="M28" s="32">
        <f t="shared" si="4"/>
        <v>0.58</v>
      </c>
      <c r="N28" s="9">
        <f t="shared" si="5"/>
        <v>17</v>
      </c>
      <c r="O28" s="9">
        <f t="shared" si="6"/>
        <v>596</v>
      </c>
      <c r="P28" s="9">
        <f t="shared" si="7"/>
        <v>549</v>
      </c>
      <c r="Q28" s="9">
        <f t="shared" si="8"/>
        <v>453</v>
      </c>
      <c r="R28" s="9">
        <f t="shared" si="9"/>
        <v>508</v>
      </c>
    </row>
    <row r="29">
      <c r="A29" s="1">
        <f t="shared" si="1"/>
        <v>28</v>
      </c>
      <c r="B29" s="1" t="s">
        <v>47</v>
      </c>
      <c r="C29" s="1" t="s">
        <v>68</v>
      </c>
      <c r="D29" s="1" t="s">
        <v>20</v>
      </c>
      <c r="E29" s="1" t="s">
        <v>75</v>
      </c>
      <c r="F29" s="5">
        <v>1.0</v>
      </c>
      <c r="G29" s="9">
        <f>IFERROR(__xludf.DUMMYFUNCTION("IF(B29="""","""",ROUND(XLOOKUP(B29, FLATTEN(B$1:E28), FLATTEN(O$1:R28), 500, 0, -1)))"),505.0)</f>
        <v>505</v>
      </c>
      <c r="H29" s="9">
        <f>IFERROR(__xludf.DUMMYFUNCTION("IF(C29="""","""",ROUND(XLOOKUP(C29, FLATTEN(B$1:E28), FLATTEN(O$1:R28), 500, 0, -1)))"),505.0)</f>
        <v>505</v>
      </c>
      <c r="I29" s="9">
        <f>IFERROR(__xludf.DUMMYFUNCTION("IF(D29="""","""",ROUND(XLOOKUP(D29, FLATTEN(B$1:E28), FLATTEN(O$1:R28), 500, 0, -1)))"),453.0)</f>
        <v>453</v>
      </c>
      <c r="J29" s="9">
        <f>IFERROR(__xludf.DUMMYFUNCTION("IF(E29="""","""",ROUND(XLOOKUP(E29, FLATTEN(B$1:E28), FLATTEN(O$1:R28), 500, 0, -1)))"),508.0)</f>
        <v>508</v>
      </c>
      <c r="K29" s="9">
        <f t="shared" si="2"/>
        <v>505</v>
      </c>
      <c r="L29" s="9">
        <f t="shared" si="3"/>
        <v>478</v>
      </c>
      <c r="M29" s="32">
        <f t="shared" si="4"/>
        <v>0.54</v>
      </c>
      <c r="N29" s="9">
        <f t="shared" si="5"/>
        <v>18</v>
      </c>
      <c r="O29" s="9">
        <f t="shared" si="6"/>
        <v>526</v>
      </c>
      <c r="P29" s="9">
        <f t="shared" si="7"/>
        <v>526</v>
      </c>
      <c r="Q29" s="9">
        <f t="shared" si="8"/>
        <v>435</v>
      </c>
      <c r="R29" s="9">
        <f t="shared" si="9"/>
        <v>490</v>
      </c>
    </row>
    <row r="30">
      <c r="A30" s="1">
        <f t="shared" si="1"/>
        <v>29</v>
      </c>
      <c r="B30" s="1" t="s">
        <v>22</v>
      </c>
      <c r="C30" s="1" t="s">
        <v>21</v>
      </c>
      <c r="D30" s="1" t="s">
        <v>23</v>
      </c>
      <c r="E30" s="1" t="s">
        <v>48</v>
      </c>
      <c r="F30" s="5">
        <v>1.0</v>
      </c>
      <c r="G30" s="9">
        <f>IFERROR(__xludf.DUMMYFUNCTION("IF(B30="""","""",ROUND(XLOOKUP(B30, FLATTEN(B$1:E29), FLATTEN(O$1:R29), 500, 0, -1)))"),596.0)</f>
        <v>596</v>
      </c>
      <c r="H30" s="9">
        <f>IFERROR(__xludf.DUMMYFUNCTION("IF(C30="""","""",ROUND(XLOOKUP(C30, FLATTEN(B$1:E29), FLATTEN(O$1:R29), 500, 0, -1)))"),549.0)</f>
        <v>549</v>
      </c>
      <c r="I30" s="9">
        <f>IFERROR(__xludf.DUMMYFUNCTION("IF(D30="""","""",ROUND(XLOOKUP(D30, FLATTEN(B$1:E29), FLATTEN(O$1:R29), 500, 0, -1)))"),521.0)</f>
        <v>521</v>
      </c>
      <c r="J30" s="9">
        <f>IFERROR(__xludf.DUMMYFUNCTION("IF(E30="""","""",ROUND(XLOOKUP(E30, FLATTEN(B$1:E29), FLATTEN(O$1:R29), 500, 0, -1)))"),431.0)</f>
        <v>431</v>
      </c>
      <c r="K30" s="9">
        <f t="shared" si="2"/>
        <v>571</v>
      </c>
      <c r="L30" s="9">
        <f t="shared" si="3"/>
        <v>469</v>
      </c>
      <c r="M30" s="32">
        <f t="shared" si="4"/>
        <v>0.64</v>
      </c>
      <c r="N30" s="9">
        <f t="shared" si="5"/>
        <v>14</v>
      </c>
      <c r="O30" s="9">
        <f t="shared" si="6"/>
        <v>613</v>
      </c>
      <c r="P30" s="9">
        <f t="shared" si="7"/>
        <v>566</v>
      </c>
      <c r="Q30" s="9">
        <f t="shared" si="8"/>
        <v>507</v>
      </c>
      <c r="R30" s="9">
        <f t="shared" si="9"/>
        <v>417</v>
      </c>
    </row>
    <row r="31">
      <c r="A31" s="1">
        <f t="shared" si="1"/>
        <v>30</v>
      </c>
      <c r="B31" s="1" t="s">
        <v>22</v>
      </c>
      <c r="C31" s="1" t="s">
        <v>21</v>
      </c>
      <c r="D31" s="1" t="s">
        <v>47</v>
      </c>
      <c r="E31" s="1" t="s">
        <v>68</v>
      </c>
      <c r="F31" s="5">
        <v>1.0</v>
      </c>
      <c r="G31" s="9">
        <f>IFERROR(__xludf.DUMMYFUNCTION("IF(B31="""","""",ROUND(XLOOKUP(B31, FLATTEN(B$1:E30), FLATTEN(O$1:R30), 500, 0, -1)))"),613.0)</f>
        <v>613</v>
      </c>
      <c r="H31" s="9">
        <f>IFERROR(__xludf.DUMMYFUNCTION("IF(C31="""","""",ROUND(XLOOKUP(C31, FLATTEN(B$1:E30), FLATTEN(O$1:R30), 500, 0, -1)))"),566.0)</f>
        <v>566</v>
      </c>
      <c r="I31" s="9">
        <f>IFERROR(__xludf.DUMMYFUNCTION("IF(D31="""","""",ROUND(XLOOKUP(D31, FLATTEN(B$1:E30), FLATTEN(O$1:R30), 500, 0, -1)))"),526.0)</f>
        <v>526</v>
      </c>
      <c r="J31" s="9">
        <f>IFERROR(__xludf.DUMMYFUNCTION("IF(E31="""","""",ROUND(XLOOKUP(E31, FLATTEN(B$1:E30), FLATTEN(O$1:R30), 500, 0, -1)))"),526.0)</f>
        <v>526</v>
      </c>
      <c r="K31" s="9">
        <f t="shared" si="2"/>
        <v>588</v>
      </c>
      <c r="L31" s="9">
        <f t="shared" si="3"/>
        <v>526</v>
      </c>
      <c r="M31" s="32">
        <f t="shared" si="4"/>
        <v>0.59</v>
      </c>
      <c r="N31" s="9">
        <f t="shared" si="5"/>
        <v>16</v>
      </c>
      <c r="O31" s="9">
        <f t="shared" si="6"/>
        <v>632</v>
      </c>
      <c r="P31" s="9">
        <f t="shared" si="7"/>
        <v>585</v>
      </c>
      <c r="Q31" s="9">
        <f t="shared" si="8"/>
        <v>510</v>
      </c>
      <c r="R31" s="9">
        <f t="shared" si="9"/>
        <v>510</v>
      </c>
    </row>
    <row r="32">
      <c r="A32" s="1">
        <f t="shared" si="1"/>
        <v>31</v>
      </c>
      <c r="B32" s="1" t="s">
        <v>23</v>
      </c>
      <c r="C32" s="1" t="s">
        <v>48</v>
      </c>
      <c r="D32" s="1" t="s">
        <v>20</v>
      </c>
      <c r="E32" s="1" t="s">
        <v>75</v>
      </c>
      <c r="F32" s="5">
        <v>1.0</v>
      </c>
      <c r="G32" s="9">
        <f>IFERROR(__xludf.DUMMYFUNCTION("IF(B32="""","""",ROUND(XLOOKUP(B32, FLATTEN(B$1:E31), FLATTEN(O$1:R31), 500, 0, -1)))"),507.0)</f>
        <v>507</v>
      </c>
      <c r="H32" s="9">
        <f>IFERROR(__xludf.DUMMYFUNCTION("IF(C32="""","""",ROUND(XLOOKUP(C32, FLATTEN(B$1:E31), FLATTEN(O$1:R31), 500, 0, -1)))"),417.0)</f>
        <v>417</v>
      </c>
      <c r="I32" s="9">
        <f>IFERROR(__xludf.DUMMYFUNCTION("IF(D32="""","""",ROUND(XLOOKUP(D32, FLATTEN(B$1:E31), FLATTEN(O$1:R31), 500, 0, -1)))"),435.0)</f>
        <v>435</v>
      </c>
      <c r="J32" s="9">
        <f>IFERROR(__xludf.DUMMYFUNCTION("IF(E32="""","""",ROUND(XLOOKUP(E32, FLATTEN(B$1:E31), FLATTEN(O$1:R31), 500, 0, -1)))"),490.0)</f>
        <v>490</v>
      </c>
      <c r="K32" s="9">
        <f t="shared" si="2"/>
        <v>455</v>
      </c>
      <c r="L32" s="9">
        <f t="shared" si="3"/>
        <v>460</v>
      </c>
      <c r="M32" s="32">
        <f t="shared" si="4"/>
        <v>0.49</v>
      </c>
      <c r="N32" s="9">
        <f t="shared" si="5"/>
        <v>20</v>
      </c>
      <c r="O32" s="9">
        <f t="shared" si="6"/>
        <v>530</v>
      </c>
      <c r="P32" s="9">
        <f t="shared" si="7"/>
        <v>440</v>
      </c>
      <c r="Q32" s="9">
        <f t="shared" si="8"/>
        <v>415</v>
      </c>
      <c r="R32" s="9">
        <f t="shared" si="9"/>
        <v>470</v>
      </c>
    </row>
    <row r="33">
      <c r="A33" s="1">
        <f t="shared" si="1"/>
        <v>32</v>
      </c>
      <c r="B33" s="1" t="s">
        <v>47</v>
      </c>
      <c r="C33" s="1" t="s">
        <v>68</v>
      </c>
      <c r="D33" s="1" t="s">
        <v>23</v>
      </c>
      <c r="E33" s="1" t="s">
        <v>48</v>
      </c>
      <c r="F33" s="5">
        <v>1.0</v>
      </c>
      <c r="G33" s="9">
        <f>IFERROR(__xludf.DUMMYFUNCTION("IF(B33="""","""",ROUND(XLOOKUP(B33, FLATTEN(B$1:E32), FLATTEN(O$1:R32), 500, 0, -1)))"),510.0)</f>
        <v>510</v>
      </c>
      <c r="H33" s="9">
        <f>IFERROR(__xludf.DUMMYFUNCTION("IF(C33="""","""",ROUND(XLOOKUP(C33, FLATTEN(B$1:E32), FLATTEN(O$1:R32), 500, 0, -1)))"),510.0)</f>
        <v>510</v>
      </c>
      <c r="I33" s="9">
        <f>IFERROR(__xludf.DUMMYFUNCTION("IF(D33="""","""",ROUND(XLOOKUP(D33, FLATTEN(B$1:E32), FLATTEN(O$1:R32), 500, 0, -1)))"),530.0)</f>
        <v>530</v>
      </c>
      <c r="J33" s="9">
        <f>IFERROR(__xludf.DUMMYFUNCTION("IF(E33="""","""",ROUND(XLOOKUP(E33, FLATTEN(B$1:E32), FLATTEN(O$1:R32), 500, 0, -1)))"),440.0)</f>
        <v>440</v>
      </c>
      <c r="K33" s="9">
        <f t="shared" si="2"/>
        <v>510</v>
      </c>
      <c r="L33" s="9">
        <f t="shared" si="3"/>
        <v>478</v>
      </c>
      <c r="M33" s="32">
        <f t="shared" si="4"/>
        <v>0.55</v>
      </c>
      <c r="N33" s="9">
        <f t="shared" si="5"/>
        <v>18</v>
      </c>
      <c r="O33" s="9">
        <f t="shared" si="6"/>
        <v>531</v>
      </c>
      <c r="P33" s="9">
        <f t="shared" si="7"/>
        <v>531</v>
      </c>
      <c r="Q33" s="9">
        <f t="shared" si="8"/>
        <v>512</v>
      </c>
      <c r="R33" s="9">
        <f t="shared" si="9"/>
        <v>422</v>
      </c>
    </row>
    <row r="34">
      <c r="A34" s="1">
        <f t="shared" si="1"/>
        <v>33</v>
      </c>
      <c r="B34" s="1" t="s">
        <v>22</v>
      </c>
      <c r="C34" s="1" t="s">
        <v>21</v>
      </c>
      <c r="D34" s="1" t="s">
        <v>20</v>
      </c>
      <c r="E34" s="1" t="s">
        <v>75</v>
      </c>
      <c r="F34" s="5">
        <v>1.0</v>
      </c>
      <c r="G34" s="9">
        <f>IFERROR(__xludf.DUMMYFUNCTION("IF(B34="""","""",ROUND(XLOOKUP(B34, FLATTEN(B$1:E33), FLATTEN(O$1:R33), 500, 0, -1)))"),632.0)</f>
        <v>632</v>
      </c>
      <c r="H34" s="9">
        <f>IFERROR(__xludf.DUMMYFUNCTION("IF(C34="""","""",ROUND(XLOOKUP(C34, FLATTEN(B$1:E33), FLATTEN(O$1:R33), 500, 0, -1)))"),585.0)</f>
        <v>585</v>
      </c>
      <c r="I34" s="9">
        <f>IFERROR(__xludf.DUMMYFUNCTION("IF(D34="""","""",ROUND(XLOOKUP(D34, FLATTEN(B$1:E33), FLATTEN(O$1:R33), 500, 0, -1)))"),415.0)</f>
        <v>415</v>
      </c>
      <c r="J34" s="9">
        <f>IFERROR(__xludf.DUMMYFUNCTION("IF(E34="""","""",ROUND(XLOOKUP(E34, FLATTEN(B$1:E33), FLATTEN(O$1:R33), 500, 0, -1)))"),470.0)</f>
        <v>470</v>
      </c>
      <c r="K34" s="9">
        <f t="shared" si="2"/>
        <v>607</v>
      </c>
      <c r="L34" s="9">
        <f t="shared" si="3"/>
        <v>440</v>
      </c>
      <c r="M34" s="32">
        <f t="shared" si="4"/>
        <v>0.72</v>
      </c>
      <c r="N34" s="9">
        <f t="shared" si="5"/>
        <v>11</v>
      </c>
      <c r="O34" s="9">
        <f t="shared" si="6"/>
        <v>646</v>
      </c>
      <c r="P34" s="9">
        <f t="shared" si="7"/>
        <v>599</v>
      </c>
      <c r="Q34" s="9">
        <f t="shared" si="8"/>
        <v>404</v>
      </c>
      <c r="R34" s="9">
        <f t="shared" si="9"/>
        <v>459</v>
      </c>
    </row>
    <row r="35">
      <c r="A35" s="1">
        <f t="shared" si="1"/>
        <v>34</v>
      </c>
      <c r="B35" s="1" t="s">
        <v>20</v>
      </c>
      <c r="C35" s="1" t="s">
        <v>20</v>
      </c>
      <c r="D35" s="1" t="s">
        <v>47</v>
      </c>
      <c r="E35" s="1" t="s">
        <v>68</v>
      </c>
      <c r="F35" s="5">
        <v>1.0</v>
      </c>
      <c r="G35" s="9">
        <f>IFERROR(__xludf.DUMMYFUNCTION("IF(B35="""","""",ROUND(XLOOKUP(B35, FLATTEN(B$1:E34), FLATTEN(O$1:R34), 500, 0, -1)))"),404.0)</f>
        <v>404</v>
      </c>
      <c r="H35" s="9">
        <f>IFERROR(__xludf.DUMMYFUNCTION("IF(C35="""","""",ROUND(XLOOKUP(C35, FLATTEN(B$1:E34), FLATTEN(O$1:R34), 500, 0, -1)))"),404.0)</f>
        <v>404</v>
      </c>
      <c r="I35" s="9">
        <f>IFERROR(__xludf.DUMMYFUNCTION("IF(D35="""","""",ROUND(XLOOKUP(D35, FLATTEN(B$1:E34), FLATTEN(O$1:R34), 500, 0, -1)))"),531.0)</f>
        <v>531</v>
      </c>
      <c r="J35" s="9">
        <f>IFERROR(__xludf.DUMMYFUNCTION("IF(E35="""","""",ROUND(XLOOKUP(E35, FLATTEN(B$1:E34), FLATTEN(O$1:R34), 500, 0, -1)))"),531.0)</f>
        <v>531</v>
      </c>
      <c r="K35" s="9">
        <f t="shared" si="2"/>
        <v>404</v>
      </c>
      <c r="L35" s="9">
        <f t="shared" si="3"/>
        <v>531</v>
      </c>
      <c r="M35" s="32">
        <f t="shared" si="4"/>
        <v>0.32</v>
      </c>
      <c r="N35" s="9">
        <f t="shared" si="5"/>
        <v>27</v>
      </c>
      <c r="O35" s="9">
        <f t="shared" si="6"/>
        <v>434</v>
      </c>
      <c r="P35" s="9">
        <f t="shared" si="7"/>
        <v>434</v>
      </c>
      <c r="Q35" s="9">
        <f t="shared" si="8"/>
        <v>504</v>
      </c>
      <c r="R35" s="9">
        <f t="shared" si="9"/>
        <v>504</v>
      </c>
    </row>
    <row r="36">
      <c r="A36" s="1">
        <f t="shared" si="1"/>
        <v>35</v>
      </c>
      <c r="B36" s="1" t="s">
        <v>23</v>
      </c>
      <c r="C36" s="1" t="s">
        <v>48</v>
      </c>
      <c r="D36" s="1" t="s">
        <v>22</v>
      </c>
      <c r="E36" s="1" t="s">
        <v>21</v>
      </c>
      <c r="F36" s="5">
        <v>1.0</v>
      </c>
      <c r="G36" s="9">
        <f>IFERROR(__xludf.DUMMYFUNCTION("IF(B36="""","""",ROUND(XLOOKUP(B36, FLATTEN(B$1:E35), FLATTEN(O$1:R35), 500, 0, -1)))"),512.0)</f>
        <v>512</v>
      </c>
      <c r="H36" s="9">
        <f>IFERROR(__xludf.DUMMYFUNCTION("IF(C36="""","""",ROUND(XLOOKUP(C36, FLATTEN(B$1:E35), FLATTEN(O$1:R35), 500, 0, -1)))"),422.0)</f>
        <v>422</v>
      </c>
      <c r="I36" s="9">
        <f>IFERROR(__xludf.DUMMYFUNCTION("IF(D36="""","""",ROUND(XLOOKUP(D36, FLATTEN(B$1:E35), FLATTEN(O$1:R35), 500, 0, -1)))"),646.0)</f>
        <v>646</v>
      </c>
      <c r="J36" s="9">
        <f>IFERROR(__xludf.DUMMYFUNCTION("IF(E36="""","""",ROUND(XLOOKUP(E36, FLATTEN(B$1:E35), FLATTEN(O$1:R35), 500, 0, -1)))"),599.0)</f>
        <v>599</v>
      </c>
      <c r="K36" s="9">
        <f t="shared" si="2"/>
        <v>460</v>
      </c>
      <c r="L36" s="9">
        <f t="shared" si="3"/>
        <v>621</v>
      </c>
      <c r="M36" s="32">
        <f t="shared" si="4"/>
        <v>0.28</v>
      </c>
      <c r="N36" s="9">
        <f t="shared" si="5"/>
        <v>29</v>
      </c>
      <c r="O36" s="9">
        <f t="shared" si="6"/>
        <v>544</v>
      </c>
      <c r="P36" s="9">
        <f t="shared" si="7"/>
        <v>454</v>
      </c>
      <c r="Q36" s="9">
        <f t="shared" si="8"/>
        <v>617</v>
      </c>
      <c r="R36" s="9">
        <f t="shared" si="9"/>
        <v>570</v>
      </c>
    </row>
    <row r="37">
      <c r="A37" s="1">
        <f t="shared" si="1"/>
        <v>36</v>
      </c>
      <c r="B37" s="1" t="s">
        <v>57</v>
      </c>
      <c r="C37" s="1" t="s">
        <v>57</v>
      </c>
      <c r="D37" s="1" t="s">
        <v>23</v>
      </c>
      <c r="E37" s="1" t="s">
        <v>21</v>
      </c>
      <c r="F37" s="5">
        <v>1.0</v>
      </c>
      <c r="G37" s="9">
        <f>IFERROR(__xludf.DUMMYFUNCTION("IF(B37="""","""",ROUND(XLOOKUP(B37, FLATTEN(B$1:E36), FLATTEN(O$1:R36), 500, 0, -1)))"),481.0)</f>
        <v>481</v>
      </c>
      <c r="H37" s="9">
        <f>IFERROR(__xludf.DUMMYFUNCTION("IF(C37="""","""",ROUND(XLOOKUP(C37, FLATTEN(B$1:E36), FLATTEN(O$1:R36), 500, 0, -1)))"),481.0)</f>
        <v>481</v>
      </c>
      <c r="I37" s="9">
        <f>IFERROR(__xludf.DUMMYFUNCTION("IF(D37="""","""",ROUND(XLOOKUP(D37, FLATTEN(B$1:E36), FLATTEN(O$1:R36), 500, 0, -1)))"),544.0)</f>
        <v>544</v>
      </c>
      <c r="J37" s="9">
        <f>IFERROR(__xludf.DUMMYFUNCTION("IF(E37="""","""",ROUND(XLOOKUP(E37, FLATTEN(B$1:E36), FLATTEN(O$1:R36), 500, 0, -1)))"),570.0)</f>
        <v>570</v>
      </c>
      <c r="K37" s="9">
        <f t="shared" si="2"/>
        <v>481</v>
      </c>
      <c r="L37" s="9">
        <f t="shared" si="3"/>
        <v>556</v>
      </c>
      <c r="M37" s="32">
        <f t="shared" si="4"/>
        <v>0.39</v>
      </c>
      <c r="N37" s="9">
        <f t="shared" si="5"/>
        <v>24</v>
      </c>
      <c r="O37" s="9">
        <f t="shared" si="6"/>
        <v>508</v>
      </c>
      <c r="P37" s="9">
        <f t="shared" si="7"/>
        <v>508</v>
      </c>
      <c r="Q37" s="9">
        <f t="shared" si="8"/>
        <v>520</v>
      </c>
      <c r="R37" s="9">
        <f t="shared" si="9"/>
        <v>546</v>
      </c>
    </row>
    <row r="38">
      <c r="A38" s="1">
        <f t="shared" si="1"/>
        <v>37</v>
      </c>
      <c r="B38" s="1" t="s">
        <v>47</v>
      </c>
      <c r="C38" s="1" t="s">
        <v>20</v>
      </c>
      <c r="D38" s="1" t="s">
        <v>57</v>
      </c>
      <c r="E38" s="1" t="s">
        <v>48</v>
      </c>
      <c r="F38" s="5">
        <v>1.0</v>
      </c>
      <c r="G38" s="9">
        <f>IFERROR(__xludf.DUMMYFUNCTION("IF(B38="""","""",ROUND(XLOOKUP(B38, FLATTEN(B$1:E37), FLATTEN(O$1:R37), 500, 0, -1)))"),504.0)</f>
        <v>504</v>
      </c>
      <c r="H38" s="9">
        <f>IFERROR(__xludf.DUMMYFUNCTION("IF(C38="""","""",ROUND(XLOOKUP(C38, FLATTEN(B$1:E37), FLATTEN(O$1:R37), 500, 0, -1)))"),434.0)</f>
        <v>434</v>
      </c>
      <c r="I38" s="9">
        <f>IFERROR(__xludf.DUMMYFUNCTION("IF(D38="""","""",ROUND(XLOOKUP(D38, FLATTEN(B$1:E37), FLATTEN(O$1:R37), 500, 0, -1)))"),508.0)</f>
        <v>508</v>
      </c>
      <c r="J38" s="9">
        <f>IFERROR(__xludf.DUMMYFUNCTION("IF(E38="""","""",ROUND(XLOOKUP(E38, FLATTEN(B$1:E37), FLATTEN(O$1:R37), 500, 0, -1)))"),454.0)</f>
        <v>454</v>
      </c>
      <c r="K38" s="9">
        <f t="shared" si="2"/>
        <v>465</v>
      </c>
      <c r="L38" s="9">
        <f t="shared" si="3"/>
        <v>479</v>
      </c>
      <c r="M38" s="32">
        <f t="shared" si="4"/>
        <v>0.48</v>
      </c>
      <c r="N38" s="9">
        <f t="shared" si="5"/>
        <v>21</v>
      </c>
      <c r="O38" s="9">
        <f t="shared" si="6"/>
        <v>528</v>
      </c>
      <c r="P38" s="9">
        <f t="shared" si="7"/>
        <v>458</v>
      </c>
      <c r="Q38" s="9">
        <f t="shared" si="8"/>
        <v>487</v>
      </c>
      <c r="R38" s="9">
        <f t="shared" si="9"/>
        <v>433</v>
      </c>
    </row>
    <row r="39">
      <c r="A39" s="1">
        <f t="shared" si="1"/>
        <v>38</v>
      </c>
      <c r="B39" s="1" t="s">
        <v>23</v>
      </c>
      <c r="C39" s="1" t="s">
        <v>21</v>
      </c>
      <c r="D39" s="1" t="s">
        <v>47</v>
      </c>
      <c r="E39" s="1" t="s">
        <v>20</v>
      </c>
      <c r="F39" s="5">
        <v>1.0</v>
      </c>
      <c r="G39" s="9">
        <f>IFERROR(__xludf.DUMMYFUNCTION("IF(B39="""","""",ROUND(XLOOKUP(B39, FLATTEN(B$1:E38), FLATTEN(O$1:R38), 500, 0, -1)))"),520.0)</f>
        <v>520</v>
      </c>
      <c r="H39" s="9">
        <f>IFERROR(__xludf.DUMMYFUNCTION("IF(C39="""","""",ROUND(XLOOKUP(C39, FLATTEN(B$1:E38), FLATTEN(O$1:R38), 500, 0, -1)))"),546.0)</f>
        <v>546</v>
      </c>
      <c r="I39" s="9">
        <f>IFERROR(__xludf.DUMMYFUNCTION("IF(D39="""","""",ROUND(XLOOKUP(D39, FLATTEN(B$1:E38), FLATTEN(O$1:R38), 500, 0, -1)))"),528.0)</f>
        <v>528</v>
      </c>
      <c r="J39" s="9">
        <f>IFERROR(__xludf.DUMMYFUNCTION("IF(E39="""","""",ROUND(XLOOKUP(E39, FLATTEN(B$1:E38), FLATTEN(O$1:R38), 500, 0, -1)))"),458.0)</f>
        <v>458</v>
      </c>
      <c r="K39" s="9">
        <f t="shared" si="2"/>
        <v>532</v>
      </c>
      <c r="L39" s="9">
        <f t="shared" si="3"/>
        <v>489</v>
      </c>
      <c r="M39" s="32">
        <f t="shared" si="4"/>
        <v>0.56</v>
      </c>
      <c r="N39" s="9">
        <f t="shared" si="5"/>
        <v>18</v>
      </c>
      <c r="O39" s="9">
        <f t="shared" si="6"/>
        <v>541</v>
      </c>
      <c r="P39" s="9">
        <f t="shared" si="7"/>
        <v>567</v>
      </c>
      <c r="Q39" s="9">
        <f t="shared" si="8"/>
        <v>510</v>
      </c>
      <c r="R39" s="9">
        <f t="shared" si="9"/>
        <v>440</v>
      </c>
    </row>
    <row r="40">
      <c r="A40" s="1">
        <f t="shared" si="1"/>
        <v>39</v>
      </c>
      <c r="B40" s="1" t="s">
        <v>57</v>
      </c>
      <c r="C40" s="1" t="s">
        <v>48</v>
      </c>
      <c r="D40" s="1" t="s">
        <v>23</v>
      </c>
      <c r="E40" s="1" t="s">
        <v>21</v>
      </c>
      <c r="F40" s="5">
        <v>1.0</v>
      </c>
      <c r="G40" s="9">
        <f>IFERROR(__xludf.DUMMYFUNCTION("IF(B40="""","""",ROUND(XLOOKUP(B40, FLATTEN(B$1:E39), FLATTEN(O$1:R39), 500, 0, -1)))"),487.0)</f>
        <v>487</v>
      </c>
      <c r="H40" s="9">
        <f>IFERROR(__xludf.DUMMYFUNCTION("IF(C40="""","""",ROUND(XLOOKUP(C40, FLATTEN(B$1:E39), FLATTEN(O$1:R39), 500, 0, -1)))"),433.0)</f>
        <v>433</v>
      </c>
      <c r="I40" s="9">
        <f>IFERROR(__xludf.DUMMYFUNCTION("IF(D40="""","""",ROUND(XLOOKUP(D40, FLATTEN(B$1:E39), FLATTEN(O$1:R39), 500, 0, -1)))"),541.0)</f>
        <v>541</v>
      </c>
      <c r="J40" s="9">
        <f>IFERROR(__xludf.DUMMYFUNCTION("IF(E40="""","""",ROUND(XLOOKUP(E40, FLATTEN(B$1:E39), FLATTEN(O$1:R39), 500, 0, -1)))"),567.0)</f>
        <v>567</v>
      </c>
      <c r="K40" s="9">
        <f t="shared" si="2"/>
        <v>458</v>
      </c>
      <c r="L40" s="9">
        <f t="shared" si="3"/>
        <v>553</v>
      </c>
      <c r="M40" s="32">
        <f t="shared" si="4"/>
        <v>0.37</v>
      </c>
      <c r="N40" s="9">
        <f t="shared" si="5"/>
        <v>25</v>
      </c>
      <c r="O40" s="9">
        <f t="shared" si="6"/>
        <v>515</v>
      </c>
      <c r="P40" s="9">
        <f t="shared" si="7"/>
        <v>461</v>
      </c>
      <c r="Q40" s="9">
        <f t="shared" si="8"/>
        <v>516</v>
      </c>
      <c r="R40" s="9">
        <f t="shared" si="9"/>
        <v>542</v>
      </c>
    </row>
    <row r="41">
      <c r="A41" s="1">
        <f t="shared" si="1"/>
        <v>40</v>
      </c>
      <c r="B41" s="1" t="s">
        <v>57</v>
      </c>
      <c r="C41" s="1" t="s">
        <v>48</v>
      </c>
      <c r="D41" s="1" t="s">
        <v>47</v>
      </c>
      <c r="E41" s="1" t="s">
        <v>20</v>
      </c>
      <c r="F41" s="5">
        <v>1.0</v>
      </c>
      <c r="G41" s="9">
        <f>IFERROR(__xludf.DUMMYFUNCTION("IF(B41="""","""",ROUND(XLOOKUP(B41, FLATTEN(B$1:E40), FLATTEN(O$1:R40), 500, 0, -1)))"),515.0)</f>
        <v>515</v>
      </c>
      <c r="H41" s="9">
        <f>IFERROR(__xludf.DUMMYFUNCTION("IF(C41="""","""",ROUND(XLOOKUP(C41, FLATTEN(B$1:E40), FLATTEN(O$1:R40), 500, 0, -1)))"),461.0)</f>
        <v>461</v>
      </c>
      <c r="I41" s="9">
        <f>IFERROR(__xludf.DUMMYFUNCTION("IF(D41="""","""",ROUND(XLOOKUP(D41, FLATTEN(B$1:E40), FLATTEN(O$1:R40), 500, 0, -1)))"),510.0)</f>
        <v>510</v>
      </c>
      <c r="J41" s="9">
        <f>IFERROR(__xludf.DUMMYFUNCTION("IF(E41="""","""",ROUND(XLOOKUP(E41, FLATTEN(B$1:E40), FLATTEN(O$1:R40), 500, 0, -1)))"),440.0)</f>
        <v>440</v>
      </c>
      <c r="K41" s="9">
        <f t="shared" si="2"/>
        <v>486</v>
      </c>
      <c r="L41" s="9">
        <f t="shared" si="3"/>
        <v>471</v>
      </c>
      <c r="M41" s="32">
        <f t="shared" si="4"/>
        <v>0.52</v>
      </c>
      <c r="N41" s="9">
        <f t="shared" si="5"/>
        <v>19</v>
      </c>
      <c r="O41" s="9">
        <f t="shared" si="6"/>
        <v>537</v>
      </c>
      <c r="P41" s="9">
        <f t="shared" si="7"/>
        <v>483</v>
      </c>
      <c r="Q41" s="9">
        <f t="shared" si="8"/>
        <v>491</v>
      </c>
      <c r="R41" s="9">
        <f t="shared" si="9"/>
        <v>421</v>
      </c>
    </row>
    <row r="42">
      <c r="A42" s="1">
        <f t="shared" si="1"/>
        <v>41</v>
      </c>
      <c r="B42" s="1" t="s">
        <v>23</v>
      </c>
      <c r="C42" s="1" t="s">
        <v>21</v>
      </c>
      <c r="D42" s="1" t="s">
        <v>57</v>
      </c>
      <c r="E42" s="1" t="s">
        <v>48</v>
      </c>
      <c r="F42" s="5">
        <v>1.0</v>
      </c>
      <c r="G42" s="9">
        <f>IFERROR(__xludf.DUMMYFUNCTION("IF(B42="""","""",ROUND(XLOOKUP(B42, FLATTEN(B$1:E41), FLATTEN(O$1:R41), 500, 0, -1)))"),516.0)</f>
        <v>516</v>
      </c>
      <c r="H42" s="9">
        <f>IFERROR(__xludf.DUMMYFUNCTION("IF(C42="""","""",ROUND(XLOOKUP(C42, FLATTEN(B$1:E41), FLATTEN(O$1:R41), 500, 0, -1)))"),542.0)</f>
        <v>542</v>
      </c>
      <c r="I42" s="9">
        <f>IFERROR(__xludf.DUMMYFUNCTION("IF(D42="""","""",ROUND(XLOOKUP(D42, FLATTEN(B$1:E41), FLATTEN(O$1:R41), 500, 0, -1)))"),537.0)</f>
        <v>537</v>
      </c>
      <c r="J42" s="9">
        <f>IFERROR(__xludf.DUMMYFUNCTION("IF(E42="""","""",ROUND(XLOOKUP(E42, FLATTEN(B$1:E41), FLATTEN(O$1:R41), 500, 0, -1)))"),483.0)</f>
        <v>483</v>
      </c>
      <c r="K42" s="9">
        <f t="shared" si="2"/>
        <v>528</v>
      </c>
      <c r="L42" s="9">
        <f t="shared" si="3"/>
        <v>508</v>
      </c>
      <c r="M42" s="32">
        <f t="shared" si="4"/>
        <v>0.53</v>
      </c>
      <c r="N42" s="9">
        <f t="shared" si="5"/>
        <v>19</v>
      </c>
      <c r="O42" s="9">
        <f t="shared" si="6"/>
        <v>538</v>
      </c>
      <c r="P42" s="9">
        <f t="shared" si="7"/>
        <v>564</v>
      </c>
      <c r="Q42" s="9">
        <f t="shared" si="8"/>
        <v>518</v>
      </c>
      <c r="R42" s="9">
        <f t="shared" si="9"/>
        <v>464</v>
      </c>
    </row>
    <row r="43">
      <c r="A43" s="1">
        <f t="shared" si="1"/>
        <v>42</v>
      </c>
      <c r="B43" s="1" t="s">
        <v>23</v>
      </c>
      <c r="C43" s="1" t="s">
        <v>21</v>
      </c>
      <c r="D43" s="1" t="s">
        <v>47</v>
      </c>
      <c r="E43" s="1" t="s">
        <v>20</v>
      </c>
      <c r="F43" s="5">
        <v>1.0</v>
      </c>
      <c r="G43" s="9">
        <f>IFERROR(__xludf.DUMMYFUNCTION("IF(B43="""","""",ROUND(XLOOKUP(B43, FLATTEN(B$1:E42), FLATTEN(O$1:R42), 500, 0, -1)))"),538.0)</f>
        <v>538</v>
      </c>
      <c r="H43" s="9">
        <f>IFERROR(__xludf.DUMMYFUNCTION("IF(C43="""","""",ROUND(XLOOKUP(C43, FLATTEN(B$1:E42), FLATTEN(O$1:R42), 500, 0, -1)))"),564.0)</f>
        <v>564</v>
      </c>
      <c r="I43" s="9">
        <f>IFERROR(__xludf.DUMMYFUNCTION("IF(D43="""","""",ROUND(XLOOKUP(D43, FLATTEN(B$1:E42), FLATTEN(O$1:R42), 500, 0, -1)))"),491.0)</f>
        <v>491</v>
      </c>
      <c r="J43" s="9">
        <f>IFERROR(__xludf.DUMMYFUNCTION("IF(E43="""","""",ROUND(XLOOKUP(E43, FLATTEN(B$1:E42), FLATTEN(O$1:R42), 500, 0, -1)))"),421.0)</f>
        <v>421</v>
      </c>
      <c r="K43" s="9">
        <f t="shared" si="2"/>
        <v>550</v>
      </c>
      <c r="L43" s="9">
        <f t="shared" si="3"/>
        <v>452</v>
      </c>
      <c r="M43" s="32">
        <f t="shared" si="4"/>
        <v>0.64</v>
      </c>
      <c r="N43" s="9">
        <f t="shared" si="5"/>
        <v>14</v>
      </c>
      <c r="O43" s="9">
        <f t="shared" si="6"/>
        <v>555</v>
      </c>
      <c r="P43" s="9">
        <f t="shared" si="7"/>
        <v>581</v>
      </c>
      <c r="Q43" s="9">
        <f t="shared" si="8"/>
        <v>477</v>
      </c>
      <c r="R43" s="9">
        <f t="shared" si="9"/>
        <v>407</v>
      </c>
    </row>
    <row r="44">
      <c r="A44" s="1">
        <f t="shared" si="1"/>
        <v>43</v>
      </c>
      <c r="B44" s="1" t="s">
        <v>57</v>
      </c>
      <c r="C44" s="1" t="s">
        <v>48</v>
      </c>
      <c r="D44" s="1" t="s">
        <v>23</v>
      </c>
      <c r="E44" s="1" t="s">
        <v>21</v>
      </c>
      <c r="F44" s="5">
        <v>1.0</v>
      </c>
      <c r="G44" s="9">
        <f>IFERROR(__xludf.DUMMYFUNCTION("IF(B44="""","""",ROUND(XLOOKUP(B44, FLATTEN(B$1:E43), FLATTEN(O$1:R43), 500, 0, -1)))"),518.0)</f>
        <v>518</v>
      </c>
      <c r="H44" s="9">
        <f>IFERROR(__xludf.DUMMYFUNCTION("IF(C44="""","""",ROUND(XLOOKUP(C44, FLATTEN(B$1:E43), FLATTEN(O$1:R43), 500, 0, -1)))"),464.0)</f>
        <v>464</v>
      </c>
      <c r="I44" s="9">
        <f>IFERROR(__xludf.DUMMYFUNCTION("IF(D44="""","""",ROUND(XLOOKUP(D44, FLATTEN(B$1:E43), FLATTEN(O$1:R43), 500, 0, -1)))"),555.0)</f>
        <v>555</v>
      </c>
      <c r="J44" s="9">
        <f>IFERROR(__xludf.DUMMYFUNCTION("IF(E44="""","""",ROUND(XLOOKUP(E44, FLATTEN(B$1:E43), FLATTEN(O$1:R43), 500, 0, -1)))"),581.0)</f>
        <v>581</v>
      </c>
      <c r="K44" s="9">
        <f t="shared" si="2"/>
        <v>489</v>
      </c>
      <c r="L44" s="9">
        <f t="shared" si="3"/>
        <v>567</v>
      </c>
      <c r="M44" s="32">
        <f t="shared" si="4"/>
        <v>0.39</v>
      </c>
      <c r="N44" s="9">
        <f t="shared" si="5"/>
        <v>24</v>
      </c>
      <c r="O44" s="9">
        <f t="shared" si="6"/>
        <v>545</v>
      </c>
      <c r="P44" s="9">
        <f t="shared" si="7"/>
        <v>491</v>
      </c>
      <c r="Q44" s="9">
        <f t="shared" si="8"/>
        <v>531</v>
      </c>
      <c r="R44" s="9">
        <f t="shared" si="9"/>
        <v>557</v>
      </c>
    </row>
    <row r="45">
      <c r="A45" s="1">
        <f t="shared" si="1"/>
        <v>44</v>
      </c>
      <c r="B45" s="1" t="s">
        <v>47</v>
      </c>
      <c r="C45" s="1" t="s">
        <v>20</v>
      </c>
      <c r="D45" s="1" t="s">
        <v>57</v>
      </c>
      <c r="E45" s="1" t="s">
        <v>48</v>
      </c>
      <c r="F45" s="5">
        <v>1.0</v>
      </c>
      <c r="G45" s="9">
        <f>IFERROR(__xludf.DUMMYFUNCTION("IF(B45="""","""",ROUND(XLOOKUP(B45, FLATTEN(B$1:E44), FLATTEN(O$1:R44), 500, 0, -1)))"),477.0)</f>
        <v>477</v>
      </c>
      <c r="H45" s="9">
        <f>IFERROR(__xludf.DUMMYFUNCTION("IF(C45="""","""",ROUND(XLOOKUP(C45, FLATTEN(B$1:E44), FLATTEN(O$1:R44), 500, 0, -1)))"),407.0)</f>
        <v>407</v>
      </c>
      <c r="I45" s="9">
        <f>IFERROR(__xludf.DUMMYFUNCTION("IF(D45="""","""",ROUND(XLOOKUP(D45, FLATTEN(B$1:E44), FLATTEN(O$1:R44), 500, 0, -1)))"),545.0)</f>
        <v>545</v>
      </c>
      <c r="J45" s="9">
        <f>IFERROR(__xludf.DUMMYFUNCTION("IF(E45="""","""",ROUND(XLOOKUP(E45, FLATTEN(B$1:E44), FLATTEN(O$1:R44), 500, 0, -1)))"),491.0)</f>
        <v>491</v>
      </c>
      <c r="K45" s="9">
        <f t="shared" si="2"/>
        <v>438</v>
      </c>
      <c r="L45" s="9">
        <f t="shared" si="3"/>
        <v>516</v>
      </c>
      <c r="M45" s="32">
        <f t="shared" si="4"/>
        <v>0.39</v>
      </c>
      <c r="N45" s="9">
        <f t="shared" si="5"/>
        <v>24</v>
      </c>
      <c r="O45" s="9">
        <f t="shared" si="6"/>
        <v>504</v>
      </c>
      <c r="P45" s="9">
        <f t="shared" si="7"/>
        <v>434</v>
      </c>
      <c r="Q45" s="9">
        <f t="shared" si="8"/>
        <v>521</v>
      </c>
      <c r="R45" s="9">
        <f t="shared" si="9"/>
        <v>467</v>
      </c>
    </row>
    <row r="46">
      <c r="A46" s="1">
        <f t="shared" si="1"/>
        <v>45</v>
      </c>
      <c r="B46" s="1" t="s">
        <v>23</v>
      </c>
      <c r="C46" s="1" t="s">
        <v>21</v>
      </c>
      <c r="D46" s="1" t="s">
        <v>47</v>
      </c>
      <c r="E46" s="1" t="s">
        <v>20</v>
      </c>
      <c r="F46" s="5">
        <v>1.0</v>
      </c>
      <c r="G46" s="9">
        <f>IFERROR(__xludf.DUMMYFUNCTION("IF(B46="""","""",ROUND(XLOOKUP(B46, FLATTEN(B$1:E45), FLATTEN(O$1:R45), 500, 0, -1)))"),531.0)</f>
        <v>531</v>
      </c>
      <c r="H46" s="9">
        <f>IFERROR(__xludf.DUMMYFUNCTION("IF(C46="""","""",ROUND(XLOOKUP(C46, FLATTEN(B$1:E45), FLATTEN(O$1:R45), 500, 0, -1)))"),557.0)</f>
        <v>557</v>
      </c>
      <c r="I46" s="9">
        <f>IFERROR(__xludf.DUMMYFUNCTION("IF(D46="""","""",ROUND(XLOOKUP(D46, FLATTEN(B$1:E45), FLATTEN(O$1:R45), 500, 0, -1)))"),504.0)</f>
        <v>504</v>
      </c>
      <c r="J46" s="9">
        <f>IFERROR(__xludf.DUMMYFUNCTION("IF(E46="""","""",ROUND(XLOOKUP(E46, FLATTEN(B$1:E45), FLATTEN(O$1:R45), 500, 0, -1)))"),434.0)</f>
        <v>434</v>
      </c>
      <c r="K46" s="9">
        <f t="shared" si="2"/>
        <v>543</v>
      </c>
      <c r="L46" s="9">
        <f t="shared" si="3"/>
        <v>465</v>
      </c>
      <c r="M46" s="32">
        <f t="shared" si="4"/>
        <v>0.61</v>
      </c>
      <c r="N46" s="9">
        <f t="shared" si="5"/>
        <v>16</v>
      </c>
      <c r="O46" s="9">
        <f t="shared" si="6"/>
        <v>550</v>
      </c>
      <c r="P46" s="9">
        <f t="shared" si="7"/>
        <v>576</v>
      </c>
      <c r="Q46" s="9">
        <f t="shared" si="8"/>
        <v>488</v>
      </c>
      <c r="R46" s="9">
        <f t="shared" si="9"/>
        <v>418</v>
      </c>
    </row>
    <row r="47">
      <c r="A47" s="1">
        <f t="shared" si="1"/>
        <v>46</v>
      </c>
      <c r="B47" s="1" t="s">
        <v>21</v>
      </c>
      <c r="C47" s="1" t="s">
        <v>57</v>
      </c>
      <c r="D47" s="1" t="s">
        <v>48</v>
      </c>
      <c r="E47" s="1" t="s">
        <v>59</v>
      </c>
      <c r="F47" s="5">
        <v>1.0</v>
      </c>
      <c r="G47" s="9">
        <f>IFERROR(__xludf.DUMMYFUNCTION("IF(B47="""","""",ROUND(XLOOKUP(B47, FLATTEN(B$1:E46), FLATTEN(O$1:R46), 500, 0, -1)))"),576.0)</f>
        <v>576</v>
      </c>
      <c r="H47" s="9">
        <f>IFERROR(__xludf.DUMMYFUNCTION("IF(C47="""","""",ROUND(XLOOKUP(C47, FLATTEN(B$1:E46), FLATTEN(O$1:R46), 500, 0, -1)))"),521.0)</f>
        <v>521</v>
      </c>
      <c r="I47" s="9">
        <f>IFERROR(__xludf.DUMMYFUNCTION("IF(D47="""","""",ROUND(XLOOKUP(D47, FLATTEN(B$1:E46), FLATTEN(O$1:R46), 500, 0, -1)))"),467.0)</f>
        <v>467</v>
      </c>
      <c r="J47" s="9">
        <f>IFERROR(__xludf.DUMMYFUNCTION("IF(E47="""","""",ROUND(XLOOKUP(E47, FLATTEN(B$1:E46), FLATTEN(O$1:R46), 500, 0, -1)))"),525.0)</f>
        <v>525</v>
      </c>
      <c r="K47" s="9">
        <f t="shared" si="2"/>
        <v>546</v>
      </c>
      <c r="L47" s="9">
        <f t="shared" si="3"/>
        <v>493</v>
      </c>
      <c r="M47" s="32">
        <f t="shared" si="4"/>
        <v>0.58</v>
      </c>
      <c r="N47" s="9">
        <f t="shared" si="5"/>
        <v>17</v>
      </c>
      <c r="O47" s="9">
        <f t="shared" si="6"/>
        <v>596</v>
      </c>
      <c r="P47" s="9">
        <f t="shared" si="7"/>
        <v>541</v>
      </c>
      <c r="Q47" s="9">
        <f t="shared" si="8"/>
        <v>450</v>
      </c>
      <c r="R47" s="9">
        <f t="shared" si="9"/>
        <v>508</v>
      </c>
    </row>
    <row r="48">
      <c r="A48" s="1">
        <f t="shared" si="1"/>
        <v>47</v>
      </c>
      <c r="B48" s="1" t="s">
        <v>21</v>
      </c>
      <c r="C48" s="1" t="s">
        <v>57</v>
      </c>
      <c r="D48" s="1" t="s">
        <v>23</v>
      </c>
      <c r="E48" s="1" t="s">
        <v>20</v>
      </c>
      <c r="F48" s="5">
        <v>1.0</v>
      </c>
      <c r="G48" s="9">
        <f>IFERROR(__xludf.DUMMYFUNCTION("IF(B48="""","""",ROUND(XLOOKUP(B48, FLATTEN(B$1:E47), FLATTEN(O$1:R47), 500, 0, -1)))"),596.0)</f>
        <v>596</v>
      </c>
      <c r="H48" s="9">
        <f>IFERROR(__xludf.DUMMYFUNCTION("IF(C48="""","""",ROUND(XLOOKUP(C48, FLATTEN(B$1:E47), FLATTEN(O$1:R47), 500, 0, -1)))"),541.0)</f>
        <v>541</v>
      </c>
      <c r="I48" s="9">
        <f>IFERROR(__xludf.DUMMYFUNCTION("IF(D48="""","""",ROUND(XLOOKUP(D48, FLATTEN(B$1:E47), FLATTEN(O$1:R47), 500, 0, -1)))"),550.0)</f>
        <v>550</v>
      </c>
      <c r="J48" s="9">
        <f>IFERROR(__xludf.DUMMYFUNCTION("IF(E48="""","""",ROUND(XLOOKUP(E48, FLATTEN(B$1:E47), FLATTEN(O$1:R47), 500, 0, -1)))"),418.0)</f>
        <v>418</v>
      </c>
      <c r="K48" s="9">
        <f t="shared" si="2"/>
        <v>566</v>
      </c>
      <c r="L48" s="9">
        <f t="shared" si="3"/>
        <v>469</v>
      </c>
      <c r="M48" s="32">
        <f t="shared" si="4"/>
        <v>0.64</v>
      </c>
      <c r="N48" s="9">
        <f t="shared" si="5"/>
        <v>14</v>
      </c>
      <c r="O48" s="9">
        <f t="shared" si="6"/>
        <v>613</v>
      </c>
      <c r="P48" s="9">
        <f t="shared" si="7"/>
        <v>558</v>
      </c>
      <c r="Q48" s="9">
        <f t="shared" si="8"/>
        <v>536</v>
      </c>
      <c r="R48" s="9">
        <f t="shared" si="9"/>
        <v>404</v>
      </c>
    </row>
    <row r="49">
      <c r="A49" s="1">
        <f t="shared" si="1"/>
        <v>48</v>
      </c>
      <c r="B49" s="1" t="s">
        <v>21</v>
      </c>
      <c r="C49" s="1" t="s">
        <v>57</v>
      </c>
      <c r="D49" s="1" t="s">
        <v>48</v>
      </c>
      <c r="E49" s="1" t="s">
        <v>59</v>
      </c>
      <c r="F49" s="5">
        <v>1.0</v>
      </c>
      <c r="G49" s="9">
        <f>IFERROR(__xludf.DUMMYFUNCTION("IF(B49="""","""",ROUND(XLOOKUP(B49, FLATTEN(B$1:E48), FLATTEN(O$1:R48), 500, 0, -1)))"),613.0)</f>
        <v>613</v>
      </c>
      <c r="H49" s="9">
        <f>IFERROR(__xludf.DUMMYFUNCTION("IF(C49="""","""",ROUND(XLOOKUP(C49, FLATTEN(B$1:E48), FLATTEN(O$1:R48), 500, 0, -1)))"),558.0)</f>
        <v>558</v>
      </c>
      <c r="I49" s="9">
        <f>IFERROR(__xludf.DUMMYFUNCTION("IF(D49="""","""",ROUND(XLOOKUP(D49, FLATTEN(B$1:E48), FLATTEN(O$1:R48), 500, 0, -1)))"),450.0)</f>
        <v>450</v>
      </c>
      <c r="J49" s="9">
        <f>IFERROR(__xludf.DUMMYFUNCTION("IF(E49="""","""",ROUND(XLOOKUP(E49, FLATTEN(B$1:E48), FLATTEN(O$1:R48), 500, 0, -1)))"),508.0)</f>
        <v>508</v>
      </c>
      <c r="K49" s="9">
        <f t="shared" si="2"/>
        <v>583</v>
      </c>
      <c r="L49" s="9">
        <f t="shared" si="3"/>
        <v>476</v>
      </c>
      <c r="M49" s="32">
        <f t="shared" si="4"/>
        <v>0.65</v>
      </c>
      <c r="N49" s="9">
        <f t="shared" si="5"/>
        <v>14</v>
      </c>
      <c r="O49" s="9">
        <f t="shared" si="6"/>
        <v>630</v>
      </c>
      <c r="P49" s="9">
        <f t="shared" si="7"/>
        <v>575</v>
      </c>
      <c r="Q49" s="9">
        <f t="shared" si="8"/>
        <v>436</v>
      </c>
      <c r="R49" s="9">
        <f t="shared" si="9"/>
        <v>494</v>
      </c>
    </row>
    <row r="50">
      <c r="A50" s="1">
        <f t="shared" si="1"/>
        <v>49</v>
      </c>
      <c r="B50" s="1" t="s">
        <v>23</v>
      </c>
      <c r="C50" s="1" t="s">
        <v>20</v>
      </c>
      <c r="D50" s="1" t="s">
        <v>21</v>
      </c>
      <c r="E50" s="1" t="s">
        <v>57</v>
      </c>
      <c r="F50" s="5">
        <v>1.0</v>
      </c>
      <c r="G50" s="9">
        <f>IFERROR(__xludf.DUMMYFUNCTION("IF(B50="""","""",ROUND(XLOOKUP(B50, FLATTEN(B$1:E49), FLATTEN(O$1:R49), 500, 0, -1)))"),536.0)</f>
        <v>536</v>
      </c>
      <c r="H50" s="9">
        <f>IFERROR(__xludf.DUMMYFUNCTION("IF(C50="""","""",ROUND(XLOOKUP(C50, FLATTEN(B$1:E49), FLATTEN(O$1:R49), 500, 0, -1)))"),404.0)</f>
        <v>404</v>
      </c>
      <c r="I50" s="9">
        <f>IFERROR(__xludf.DUMMYFUNCTION("IF(D50="""","""",ROUND(XLOOKUP(D50, FLATTEN(B$1:E49), FLATTEN(O$1:R49), 500, 0, -1)))"),630.0)</f>
        <v>630</v>
      </c>
      <c r="J50" s="9">
        <f>IFERROR(__xludf.DUMMYFUNCTION("IF(E50="""","""",ROUND(XLOOKUP(E50, FLATTEN(B$1:E49), FLATTEN(O$1:R49), 500, 0, -1)))"),575.0)</f>
        <v>575</v>
      </c>
      <c r="K50" s="9">
        <f t="shared" si="2"/>
        <v>455</v>
      </c>
      <c r="L50" s="9">
        <f t="shared" si="3"/>
        <v>600</v>
      </c>
      <c r="M50" s="32">
        <f t="shared" si="4"/>
        <v>0.3</v>
      </c>
      <c r="N50" s="9">
        <f t="shared" si="5"/>
        <v>28</v>
      </c>
      <c r="O50" s="9">
        <f t="shared" si="6"/>
        <v>567</v>
      </c>
      <c r="P50" s="9">
        <f t="shared" si="7"/>
        <v>435</v>
      </c>
      <c r="Q50" s="9">
        <f t="shared" si="8"/>
        <v>602</v>
      </c>
      <c r="R50" s="9">
        <f t="shared" si="9"/>
        <v>547</v>
      </c>
    </row>
    <row r="51">
      <c r="A51" s="1">
        <f t="shared" si="1"/>
        <v>50</v>
      </c>
      <c r="B51" s="1" t="s">
        <v>21</v>
      </c>
      <c r="C51" s="1" t="s">
        <v>57</v>
      </c>
      <c r="D51" s="1" t="s">
        <v>23</v>
      </c>
      <c r="E51" s="1" t="s">
        <v>20</v>
      </c>
      <c r="F51" s="5">
        <v>1.0</v>
      </c>
      <c r="G51" s="9">
        <f>IFERROR(__xludf.DUMMYFUNCTION("IF(B51="""","""",ROUND(XLOOKUP(B51, FLATTEN(B$1:E50), FLATTEN(O$1:R50), 500, 0, -1)))"),602.0)</f>
        <v>602</v>
      </c>
      <c r="H51" s="9">
        <f>IFERROR(__xludf.DUMMYFUNCTION("IF(C51="""","""",ROUND(XLOOKUP(C51, FLATTEN(B$1:E50), FLATTEN(O$1:R50), 500, 0, -1)))"),547.0)</f>
        <v>547</v>
      </c>
      <c r="I51" s="9">
        <f>IFERROR(__xludf.DUMMYFUNCTION("IF(D51="""","""",ROUND(XLOOKUP(D51, FLATTEN(B$1:E50), FLATTEN(O$1:R50), 500, 0, -1)))"),567.0)</f>
        <v>567</v>
      </c>
      <c r="J51" s="9">
        <f>IFERROR(__xludf.DUMMYFUNCTION("IF(E51="""","""",ROUND(XLOOKUP(E51, FLATTEN(B$1:E50), FLATTEN(O$1:R50), 500, 0, -1)))"),435.0)</f>
        <v>435</v>
      </c>
      <c r="K51" s="9">
        <f t="shared" si="2"/>
        <v>572</v>
      </c>
      <c r="L51" s="9">
        <f t="shared" si="3"/>
        <v>486</v>
      </c>
      <c r="M51" s="32">
        <f t="shared" si="4"/>
        <v>0.62</v>
      </c>
      <c r="N51" s="9">
        <f t="shared" si="5"/>
        <v>15</v>
      </c>
      <c r="O51" s="9">
        <f t="shared" si="6"/>
        <v>620</v>
      </c>
      <c r="P51" s="9">
        <f t="shared" si="7"/>
        <v>565</v>
      </c>
      <c r="Q51" s="9">
        <f t="shared" si="8"/>
        <v>552</v>
      </c>
      <c r="R51" s="9">
        <f t="shared" si="9"/>
        <v>420</v>
      </c>
    </row>
    <row r="52">
      <c r="A52" s="1">
        <f t="shared" si="1"/>
        <v>51</v>
      </c>
      <c r="B52" s="1" t="s">
        <v>48</v>
      </c>
      <c r="C52" s="1" t="s">
        <v>59</v>
      </c>
      <c r="D52" s="1" t="s">
        <v>21</v>
      </c>
      <c r="E52" s="1" t="s">
        <v>57</v>
      </c>
      <c r="F52" s="5">
        <v>1.0</v>
      </c>
      <c r="G52" s="9">
        <f>IFERROR(__xludf.DUMMYFUNCTION("IF(B52="""","""",ROUND(XLOOKUP(B52, FLATTEN(B$1:E51), FLATTEN(O$1:R51), 500, 0, -1)))"),436.0)</f>
        <v>436</v>
      </c>
      <c r="H52" s="9">
        <f>IFERROR(__xludf.DUMMYFUNCTION("IF(C52="""","""",ROUND(XLOOKUP(C52, FLATTEN(B$1:E51), FLATTEN(O$1:R51), 500, 0, -1)))"),494.0)</f>
        <v>494</v>
      </c>
      <c r="I52" s="9">
        <f>IFERROR(__xludf.DUMMYFUNCTION("IF(D52="""","""",ROUND(XLOOKUP(D52, FLATTEN(B$1:E51), FLATTEN(O$1:R51), 500, 0, -1)))"),620.0)</f>
        <v>620</v>
      </c>
      <c r="J52" s="9">
        <f>IFERROR(__xludf.DUMMYFUNCTION("IF(E52="""","""",ROUND(XLOOKUP(E52, FLATTEN(B$1:E51), FLATTEN(O$1:R51), 500, 0, -1)))"),565.0)</f>
        <v>565</v>
      </c>
      <c r="K52" s="9">
        <f t="shared" si="2"/>
        <v>462</v>
      </c>
      <c r="L52" s="9">
        <f t="shared" si="3"/>
        <v>590</v>
      </c>
      <c r="M52" s="32">
        <f t="shared" si="4"/>
        <v>0.32</v>
      </c>
      <c r="N52" s="9">
        <f t="shared" si="5"/>
        <v>27</v>
      </c>
      <c r="O52" s="9">
        <f t="shared" si="6"/>
        <v>466</v>
      </c>
      <c r="P52" s="9">
        <f t="shared" si="7"/>
        <v>524</v>
      </c>
      <c r="Q52" s="9">
        <f t="shared" si="8"/>
        <v>593</v>
      </c>
      <c r="R52" s="9">
        <f t="shared" si="9"/>
        <v>538</v>
      </c>
    </row>
    <row r="53">
      <c r="A53" s="1">
        <f t="shared" si="1"/>
        <v>52</v>
      </c>
      <c r="B53" s="1" t="s">
        <v>48</v>
      </c>
      <c r="C53" s="1" t="s">
        <v>59</v>
      </c>
      <c r="D53" s="1" t="s">
        <v>23</v>
      </c>
      <c r="E53" s="1" t="s">
        <v>20</v>
      </c>
      <c r="F53" s="5">
        <v>1.0</v>
      </c>
      <c r="G53" s="9">
        <f>IFERROR(__xludf.DUMMYFUNCTION("IF(B53="""","""",ROUND(XLOOKUP(B53, FLATTEN(B$1:E52), FLATTEN(O$1:R52), 500, 0, -1)))"),466.0)</f>
        <v>466</v>
      </c>
      <c r="H53" s="9">
        <f>IFERROR(__xludf.DUMMYFUNCTION("IF(C53="""","""",ROUND(XLOOKUP(C53, FLATTEN(B$1:E52), FLATTEN(O$1:R52), 500, 0, -1)))"),524.0)</f>
        <v>524</v>
      </c>
      <c r="I53" s="9">
        <f>IFERROR(__xludf.DUMMYFUNCTION("IF(D53="""","""",ROUND(XLOOKUP(D53, FLATTEN(B$1:E52), FLATTEN(O$1:R52), 500, 0, -1)))"),552.0)</f>
        <v>552</v>
      </c>
      <c r="J53" s="9">
        <f>IFERROR(__xludf.DUMMYFUNCTION("IF(E53="""","""",ROUND(XLOOKUP(E53, FLATTEN(B$1:E52), FLATTEN(O$1:R52), 500, 0, -1)))"),420.0)</f>
        <v>420</v>
      </c>
      <c r="K53" s="9">
        <f t="shared" si="2"/>
        <v>492</v>
      </c>
      <c r="L53" s="9">
        <f t="shared" si="3"/>
        <v>471</v>
      </c>
      <c r="M53" s="32">
        <f t="shared" si="4"/>
        <v>0.53</v>
      </c>
      <c r="N53" s="9">
        <f t="shared" si="5"/>
        <v>19</v>
      </c>
      <c r="O53" s="9">
        <f t="shared" si="6"/>
        <v>488</v>
      </c>
      <c r="P53" s="9">
        <f t="shared" si="7"/>
        <v>546</v>
      </c>
      <c r="Q53" s="9">
        <f t="shared" si="8"/>
        <v>533</v>
      </c>
      <c r="R53" s="9">
        <f t="shared" si="9"/>
        <v>401</v>
      </c>
    </row>
    <row r="54">
      <c r="A54" s="1">
        <f t="shared" si="1"/>
        <v>53</v>
      </c>
      <c r="B54" s="1" t="s">
        <v>21</v>
      </c>
      <c r="C54" s="1" t="s">
        <v>57</v>
      </c>
      <c r="D54" s="1" t="s">
        <v>48</v>
      </c>
      <c r="E54" s="1" t="s">
        <v>59</v>
      </c>
      <c r="F54" s="5">
        <v>1.0</v>
      </c>
      <c r="G54" s="9">
        <f>IFERROR(__xludf.DUMMYFUNCTION("IF(B54="""","""",ROUND(XLOOKUP(B54, FLATTEN(B$1:E53), FLATTEN(O$1:R53), 500, 0, -1)))"),593.0)</f>
        <v>593</v>
      </c>
      <c r="H54" s="9">
        <f>IFERROR(__xludf.DUMMYFUNCTION("IF(C54="""","""",ROUND(XLOOKUP(C54, FLATTEN(B$1:E53), FLATTEN(O$1:R53), 500, 0, -1)))"),538.0)</f>
        <v>538</v>
      </c>
      <c r="I54" s="9">
        <f>IFERROR(__xludf.DUMMYFUNCTION("IF(D54="""","""",ROUND(XLOOKUP(D54, FLATTEN(B$1:E53), FLATTEN(O$1:R53), 500, 0, -1)))"),488.0)</f>
        <v>488</v>
      </c>
      <c r="J54" s="9">
        <f>IFERROR(__xludf.DUMMYFUNCTION("IF(E54="""","""",ROUND(XLOOKUP(E54, FLATTEN(B$1:E53), FLATTEN(O$1:R53), 500, 0, -1)))"),546.0)</f>
        <v>546</v>
      </c>
      <c r="K54" s="9">
        <f t="shared" si="2"/>
        <v>563</v>
      </c>
      <c r="L54" s="9">
        <f t="shared" si="3"/>
        <v>514</v>
      </c>
      <c r="M54" s="32">
        <f t="shared" si="4"/>
        <v>0.57</v>
      </c>
      <c r="N54" s="9">
        <f t="shared" si="5"/>
        <v>17</v>
      </c>
      <c r="O54" s="9">
        <f t="shared" si="6"/>
        <v>613</v>
      </c>
      <c r="P54" s="9">
        <f t="shared" si="7"/>
        <v>558</v>
      </c>
      <c r="Q54" s="9">
        <f t="shared" si="8"/>
        <v>471</v>
      </c>
      <c r="R54" s="9">
        <f t="shared" si="9"/>
        <v>529</v>
      </c>
    </row>
    <row r="55">
      <c r="A55" s="1">
        <f t="shared" si="1"/>
        <v>54</v>
      </c>
      <c r="B55" s="1" t="s">
        <v>23</v>
      </c>
      <c r="C55" s="1" t="s">
        <v>20</v>
      </c>
      <c r="D55" s="1" t="s">
        <v>21</v>
      </c>
      <c r="E55" s="1" t="s">
        <v>57</v>
      </c>
      <c r="F55" s="5">
        <v>1.0</v>
      </c>
      <c r="G55" s="9">
        <f>IFERROR(__xludf.DUMMYFUNCTION("IF(B55="""","""",ROUND(XLOOKUP(B55, FLATTEN(B$1:E54), FLATTEN(O$1:R54), 500, 0, -1)))"),533.0)</f>
        <v>533</v>
      </c>
      <c r="H55" s="9">
        <f>IFERROR(__xludf.DUMMYFUNCTION("IF(C55="""","""",ROUND(XLOOKUP(C55, FLATTEN(B$1:E54), FLATTEN(O$1:R54), 500, 0, -1)))"),401.0)</f>
        <v>401</v>
      </c>
      <c r="I55" s="9">
        <f>IFERROR(__xludf.DUMMYFUNCTION("IF(D55="""","""",ROUND(XLOOKUP(D55, FLATTEN(B$1:E54), FLATTEN(O$1:R54), 500, 0, -1)))"),613.0)</f>
        <v>613</v>
      </c>
      <c r="J55" s="9">
        <f>IFERROR(__xludf.DUMMYFUNCTION("IF(E55="""","""",ROUND(XLOOKUP(E55, FLATTEN(B$1:E54), FLATTEN(O$1:R54), 500, 0, -1)))"),558.0)</f>
        <v>558</v>
      </c>
      <c r="K55" s="9">
        <f t="shared" si="2"/>
        <v>452</v>
      </c>
      <c r="L55" s="9">
        <f t="shared" si="3"/>
        <v>583</v>
      </c>
      <c r="M55" s="32">
        <f t="shared" si="4"/>
        <v>0.32</v>
      </c>
      <c r="N55" s="9">
        <f t="shared" si="5"/>
        <v>27</v>
      </c>
      <c r="O55" s="9">
        <f t="shared" si="6"/>
        <v>563</v>
      </c>
      <c r="P55" s="9">
        <f t="shared" si="7"/>
        <v>431</v>
      </c>
      <c r="Q55" s="9">
        <f t="shared" si="8"/>
        <v>586</v>
      </c>
      <c r="R55" s="9">
        <f t="shared" si="9"/>
        <v>531</v>
      </c>
    </row>
    <row r="56">
      <c r="A56" s="1">
        <f t="shared" si="1"/>
        <v>55</v>
      </c>
      <c r="B56" s="1" t="s">
        <v>59</v>
      </c>
      <c r="C56" s="1" t="s">
        <v>47</v>
      </c>
      <c r="D56" s="1" t="s">
        <v>21</v>
      </c>
      <c r="E56" s="1" t="s">
        <v>48</v>
      </c>
      <c r="F56" s="5">
        <v>1.0</v>
      </c>
      <c r="G56" s="9">
        <f>IFERROR(__xludf.DUMMYFUNCTION("IF(B56="""","""",ROUND(XLOOKUP(B56, FLATTEN(B$1:E55), FLATTEN(O$1:R55), 500, 0, -1)))"),529.0)</f>
        <v>529</v>
      </c>
      <c r="H56" s="9">
        <f>IFERROR(__xludf.DUMMYFUNCTION("IF(C56="""","""",ROUND(XLOOKUP(C56, FLATTEN(B$1:E55), FLATTEN(O$1:R55), 500, 0, -1)))"),488.0)</f>
        <v>488</v>
      </c>
      <c r="I56" s="9">
        <f>IFERROR(__xludf.DUMMYFUNCTION("IF(D56="""","""",ROUND(XLOOKUP(D56, FLATTEN(B$1:E55), FLATTEN(O$1:R55), 500, 0, -1)))"),586.0)</f>
        <v>586</v>
      </c>
      <c r="J56" s="9">
        <f>IFERROR(__xludf.DUMMYFUNCTION("IF(E56="""","""",ROUND(XLOOKUP(E56, FLATTEN(B$1:E55), FLATTEN(O$1:R55), 500, 0, -1)))"),471.0)</f>
        <v>471</v>
      </c>
      <c r="K56" s="9">
        <f t="shared" si="2"/>
        <v>507</v>
      </c>
      <c r="L56" s="9">
        <f t="shared" si="3"/>
        <v>517</v>
      </c>
      <c r="M56" s="32">
        <f t="shared" si="4"/>
        <v>0.49</v>
      </c>
      <c r="N56" s="9">
        <f t="shared" si="5"/>
        <v>20</v>
      </c>
      <c r="O56" s="9">
        <f t="shared" si="6"/>
        <v>552</v>
      </c>
      <c r="P56" s="9">
        <f t="shared" si="7"/>
        <v>511</v>
      </c>
      <c r="Q56" s="9">
        <f t="shared" si="8"/>
        <v>566</v>
      </c>
      <c r="R56" s="9">
        <f t="shared" si="9"/>
        <v>451</v>
      </c>
    </row>
    <row r="57">
      <c r="A57" s="1">
        <f t="shared" si="1"/>
        <v>56</v>
      </c>
      <c r="B57" s="1" t="s">
        <v>59</v>
      </c>
      <c r="C57" s="1" t="s">
        <v>47</v>
      </c>
      <c r="D57" s="1" t="s">
        <v>22</v>
      </c>
      <c r="E57" s="1" t="s">
        <v>72</v>
      </c>
      <c r="F57" s="5">
        <v>1.0</v>
      </c>
      <c r="G57" s="9">
        <f>IFERROR(__xludf.DUMMYFUNCTION("IF(B57="""","""",ROUND(XLOOKUP(B57, FLATTEN(B$1:E56), FLATTEN(O$1:R56), 500, 0, -1)))"),552.0)</f>
        <v>552</v>
      </c>
      <c r="H57" s="9">
        <f>IFERROR(__xludf.DUMMYFUNCTION("IF(C57="""","""",ROUND(XLOOKUP(C57, FLATTEN(B$1:E56), FLATTEN(O$1:R56), 500, 0, -1)))"),511.0)</f>
        <v>511</v>
      </c>
      <c r="I57" s="9">
        <f>IFERROR(__xludf.DUMMYFUNCTION("IF(D57="""","""",ROUND(XLOOKUP(D57, FLATTEN(B$1:E56), FLATTEN(O$1:R56), 500, 0, -1)))"),617.0)</f>
        <v>617</v>
      </c>
      <c r="J57" s="9">
        <f>IFERROR(__xludf.DUMMYFUNCTION("IF(E57="""","""",ROUND(XLOOKUP(E57, FLATTEN(B$1:E56), FLATTEN(O$1:R56), 500, 0, -1)))"),500.0)</f>
        <v>500</v>
      </c>
      <c r="K57" s="9">
        <f t="shared" si="2"/>
        <v>530</v>
      </c>
      <c r="L57" s="9">
        <f t="shared" si="3"/>
        <v>547</v>
      </c>
      <c r="M57" s="32">
        <f t="shared" si="4"/>
        <v>0.48</v>
      </c>
      <c r="N57" s="9">
        <f t="shared" si="5"/>
        <v>21</v>
      </c>
      <c r="O57" s="9">
        <f t="shared" si="6"/>
        <v>576</v>
      </c>
      <c r="P57" s="9">
        <f t="shared" si="7"/>
        <v>535</v>
      </c>
      <c r="Q57" s="9">
        <f t="shared" si="8"/>
        <v>596</v>
      </c>
      <c r="R57" s="9">
        <f t="shared" si="9"/>
        <v>479</v>
      </c>
    </row>
    <row r="58">
      <c r="A58" s="1">
        <f t="shared" si="1"/>
        <v>57</v>
      </c>
      <c r="B58" s="1" t="s">
        <v>21</v>
      </c>
      <c r="C58" s="1" t="s">
        <v>48</v>
      </c>
      <c r="D58" s="1" t="s">
        <v>59</v>
      </c>
      <c r="E58" s="1" t="s">
        <v>47</v>
      </c>
      <c r="F58" s="5">
        <v>1.0</v>
      </c>
      <c r="G58" s="9">
        <f>IFERROR(__xludf.DUMMYFUNCTION("IF(B58="""","""",ROUND(XLOOKUP(B58, FLATTEN(B$1:E57), FLATTEN(O$1:R57), 500, 0, -1)))"),566.0)</f>
        <v>566</v>
      </c>
      <c r="H58" s="9">
        <f>IFERROR(__xludf.DUMMYFUNCTION("IF(C58="""","""",ROUND(XLOOKUP(C58, FLATTEN(B$1:E57), FLATTEN(O$1:R57), 500, 0, -1)))"),451.0)</f>
        <v>451</v>
      </c>
      <c r="I58" s="9">
        <f>IFERROR(__xludf.DUMMYFUNCTION("IF(D58="""","""",ROUND(XLOOKUP(D58, FLATTEN(B$1:E57), FLATTEN(O$1:R57), 500, 0, -1)))"),576.0)</f>
        <v>576</v>
      </c>
      <c r="J58" s="9">
        <f>IFERROR(__xludf.DUMMYFUNCTION("IF(E58="""","""",ROUND(XLOOKUP(E58, FLATTEN(B$1:E57), FLATTEN(O$1:R57), 500, 0, -1)))"),535.0)</f>
        <v>535</v>
      </c>
      <c r="K58" s="9">
        <f t="shared" si="2"/>
        <v>497</v>
      </c>
      <c r="L58" s="9">
        <f t="shared" si="3"/>
        <v>554</v>
      </c>
      <c r="M58" s="32">
        <f t="shared" si="4"/>
        <v>0.42</v>
      </c>
      <c r="N58" s="9">
        <f t="shared" si="5"/>
        <v>23</v>
      </c>
      <c r="O58" s="9">
        <f t="shared" si="6"/>
        <v>592</v>
      </c>
      <c r="P58" s="9">
        <f t="shared" si="7"/>
        <v>477</v>
      </c>
      <c r="Q58" s="9">
        <f t="shared" si="8"/>
        <v>553</v>
      </c>
      <c r="R58" s="9">
        <f t="shared" si="9"/>
        <v>512</v>
      </c>
    </row>
    <row r="59">
      <c r="A59" s="1">
        <f t="shared" si="1"/>
        <v>58</v>
      </c>
      <c r="B59" s="1" t="s">
        <v>22</v>
      </c>
      <c r="C59" s="1" t="s">
        <v>72</v>
      </c>
      <c r="D59" s="1" t="s">
        <v>21</v>
      </c>
      <c r="E59" s="1" t="s">
        <v>48</v>
      </c>
      <c r="F59" s="5">
        <v>1.0</v>
      </c>
      <c r="G59" s="9">
        <f>IFERROR(__xludf.DUMMYFUNCTION("IF(B59="""","""",ROUND(XLOOKUP(B59, FLATTEN(B$1:E58), FLATTEN(O$1:R58), 500, 0, -1)))"),596.0)</f>
        <v>596</v>
      </c>
      <c r="H59" s="9">
        <f>IFERROR(__xludf.DUMMYFUNCTION("IF(C59="""","""",ROUND(XLOOKUP(C59, FLATTEN(B$1:E58), FLATTEN(O$1:R58), 500, 0, -1)))"),479.0)</f>
        <v>479</v>
      </c>
      <c r="I59" s="9">
        <f>IFERROR(__xludf.DUMMYFUNCTION("IF(D59="""","""",ROUND(XLOOKUP(D59, FLATTEN(B$1:E58), FLATTEN(O$1:R58), 500, 0, -1)))"),592.0)</f>
        <v>592</v>
      </c>
      <c r="J59" s="9">
        <f>IFERROR(__xludf.DUMMYFUNCTION("IF(E59="""","""",ROUND(XLOOKUP(E59, FLATTEN(B$1:E58), FLATTEN(O$1:R58), 500, 0, -1)))"),477.0)</f>
        <v>477</v>
      </c>
      <c r="K59" s="9">
        <f t="shared" si="2"/>
        <v>526</v>
      </c>
      <c r="L59" s="9">
        <f t="shared" si="3"/>
        <v>523</v>
      </c>
      <c r="M59" s="32">
        <f t="shared" si="4"/>
        <v>0.5</v>
      </c>
      <c r="N59" s="9">
        <f t="shared" si="5"/>
        <v>20</v>
      </c>
      <c r="O59" s="9">
        <f t="shared" si="6"/>
        <v>619</v>
      </c>
      <c r="P59" s="9">
        <f t="shared" si="7"/>
        <v>502</v>
      </c>
      <c r="Q59" s="9">
        <f t="shared" si="8"/>
        <v>572</v>
      </c>
      <c r="R59" s="9">
        <f t="shared" si="9"/>
        <v>457</v>
      </c>
    </row>
    <row r="60">
      <c r="A60" s="1">
        <f t="shared" si="1"/>
        <v>59</v>
      </c>
      <c r="B60" s="1" t="s">
        <v>47</v>
      </c>
      <c r="C60" s="1" t="s">
        <v>23</v>
      </c>
      <c r="D60" s="1" t="s">
        <v>21</v>
      </c>
      <c r="E60" s="1" t="s">
        <v>21</v>
      </c>
      <c r="F60" s="5">
        <v>1.0</v>
      </c>
      <c r="G60" s="9">
        <f>IFERROR(__xludf.DUMMYFUNCTION("IF(B60="""","""",ROUND(XLOOKUP(B60, FLATTEN(B$1:E59), FLATTEN(O$1:R59), 500, 0, -1)))"),512.0)</f>
        <v>512</v>
      </c>
      <c r="H60" s="9">
        <f>IFERROR(__xludf.DUMMYFUNCTION("IF(C60="""","""",ROUND(XLOOKUP(C60, FLATTEN(B$1:E59), FLATTEN(O$1:R59), 500, 0, -1)))"),563.0)</f>
        <v>563</v>
      </c>
      <c r="I60" s="9">
        <f>IFERROR(__xludf.DUMMYFUNCTION("IF(D60="""","""",ROUND(XLOOKUP(D60, FLATTEN(B$1:E59), FLATTEN(O$1:R59), 500, 0, -1)))"),572.0)</f>
        <v>572</v>
      </c>
      <c r="J60" s="9">
        <f>IFERROR(__xludf.DUMMYFUNCTION("IF(E60="""","""",ROUND(XLOOKUP(E60, FLATTEN(B$1:E59), FLATTEN(O$1:R59), 500, 0, -1)))"),572.0)</f>
        <v>572</v>
      </c>
      <c r="K60" s="9">
        <f t="shared" si="2"/>
        <v>535</v>
      </c>
      <c r="L60" s="9">
        <f t="shared" si="3"/>
        <v>572</v>
      </c>
      <c r="M60" s="32">
        <f t="shared" si="4"/>
        <v>0.45</v>
      </c>
      <c r="N60" s="9">
        <f t="shared" si="5"/>
        <v>22</v>
      </c>
      <c r="O60" s="9">
        <f t="shared" si="6"/>
        <v>537</v>
      </c>
      <c r="P60" s="9">
        <f t="shared" si="7"/>
        <v>588</v>
      </c>
      <c r="Q60" s="9">
        <f t="shared" si="8"/>
        <v>550</v>
      </c>
      <c r="R60" s="9">
        <f t="shared" si="9"/>
        <v>550</v>
      </c>
    </row>
    <row r="61">
      <c r="A61" s="1">
        <f t="shared" si="1"/>
        <v>60</v>
      </c>
      <c r="B61" s="1" t="s">
        <v>57</v>
      </c>
      <c r="C61" s="1" t="s">
        <v>22</v>
      </c>
      <c r="D61" s="1" t="s">
        <v>48</v>
      </c>
      <c r="E61" s="1" t="s">
        <v>20</v>
      </c>
      <c r="F61" s="5">
        <v>1.0</v>
      </c>
      <c r="G61" s="9">
        <f>IFERROR(__xludf.DUMMYFUNCTION("IF(B61="""","""",ROUND(XLOOKUP(B61, FLATTEN(B$1:E60), FLATTEN(O$1:R60), 500, 0, -1)))"),531.0)</f>
        <v>531</v>
      </c>
      <c r="H61" s="9">
        <f>IFERROR(__xludf.DUMMYFUNCTION("IF(C61="""","""",ROUND(XLOOKUP(C61, FLATTEN(B$1:E60), FLATTEN(O$1:R60), 500, 0, -1)))"),619.0)</f>
        <v>619</v>
      </c>
      <c r="I61" s="9">
        <f>IFERROR(__xludf.DUMMYFUNCTION("IF(D61="""","""",ROUND(XLOOKUP(D61, FLATTEN(B$1:E60), FLATTEN(O$1:R60), 500, 0, -1)))"),457.0)</f>
        <v>457</v>
      </c>
      <c r="J61" s="9">
        <f>IFERROR(__xludf.DUMMYFUNCTION("IF(E61="""","""",ROUND(XLOOKUP(E61, FLATTEN(B$1:E60), FLATTEN(O$1:R60), 500, 0, -1)))"),431.0)</f>
        <v>431</v>
      </c>
      <c r="K61" s="9">
        <f t="shared" si="2"/>
        <v>569</v>
      </c>
      <c r="L61" s="9">
        <f t="shared" si="3"/>
        <v>443</v>
      </c>
      <c r="M61" s="32">
        <f t="shared" si="4"/>
        <v>0.67</v>
      </c>
      <c r="N61" s="9">
        <f t="shared" si="5"/>
        <v>13</v>
      </c>
      <c r="O61" s="9">
        <f t="shared" si="6"/>
        <v>547</v>
      </c>
      <c r="P61" s="9">
        <f t="shared" si="7"/>
        <v>635</v>
      </c>
      <c r="Q61" s="9">
        <f t="shared" si="8"/>
        <v>444</v>
      </c>
      <c r="R61" s="9">
        <f t="shared" si="9"/>
        <v>418</v>
      </c>
    </row>
    <row r="62">
      <c r="A62" s="1">
        <f t="shared" si="1"/>
        <v>61</v>
      </c>
      <c r="B62" s="1" t="s">
        <v>48</v>
      </c>
      <c r="C62" s="1" t="s">
        <v>20</v>
      </c>
      <c r="D62" s="1" t="s">
        <v>21</v>
      </c>
      <c r="E62" s="1" t="s">
        <v>21</v>
      </c>
      <c r="F62" s="5">
        <v>1.0</v>
      </c>
      <c r="G62" s="9">
        <f>IFERROR(__xludf.DUMMYFUNCTION("IF(B62="""","""",ROUND(XLOOKUP(B62, FLATTEN(B$1:E61), FLATTEN(O$1:R61), 500, 0, -1)))"),444.0)</f>
        <v>444</v>
      </c>
      <c r="H62" s="9">
        <f>IFERROR(__xludf.DUMMYFUNCTION("IF(C62="""","""",ROUND(XLOOKUP(C62, FLATTEN(B$1:E61), FLATTEN(O$1:R61), 500, 0, -1)))"),418.0)</f>
        <v>418</v>
      </c>
      <c r="I62" s="9">
        <f>IFERROR(__xludf.DUMMYFUNCTION("IF(D62="""","""",ROUND(XLOOKUP(D62, FLATTEN(B$1:E61), FLATTEN(O$1:R61), 500, 0, -1)))"),550.0)</f>
        <v>550</v>
      </c>
      <c r="J62" s="9">
        <f>IFERROR(__xludf.DUMMYFUNCTION("IF(E62="""","""",ROUND(XLOOKUP(E62, FLATTEN(B$1:E61), FLATTEN(O$1:R61), 500, 0, -1)))"),550.0)</f>
        <v>550</v>
      </c>
      <c r="K62" s="9">
        <f t="shared" si="2"/>
        <v>430</v>
      </c>
      <c r="L62" s="9">
        <f t="shared" si="3"/>
        <v>550</v>
      </c>
      <c r="M62" s="32">
        <f t="shared" si="4"/>
        <v>0.33</v>
      </c>
      <c r="N62" s="9">
        <f t="shared" si="5"/>
        <v>27</v>
      </c>
      <c r="O62" s="9">
        <f t="shared" si="6"/>
        <v>474</v>
      </c>
      <c r="P62" s="9">
        <f t="shared" si="7"/>
        <v>448</v>
      </c>
      <c r="Q62" s="9">
        <f t="shared" si="8"/>
        <v>523</v>
      </c>
      <c r="R62" s="9">
        <f t="shared" si="9"/>
        <v>523</v>
      </c>
    </row>
    <row r="63">
      <c r="A63" s="1">
        <f t="shared" si="1"/>
        <v>62</v>
      </c>
      <c r="B63" s="1" t="s">
        <v>47</v>
      </c>
      <c r="C63" s="1" t="s">
        <v>23</v>
      </c>
      <c r="D63" s="1" t="s">
        <v>57</v>
      </c>
      <c r="E63" s="1" t="s">
        <v>22</v>
      </c>
      <c r="F63" s="5">
        <v>1.0</v>
      </c>
      <c r="G63" s="9">
        <f>IFERROR(__xludf.DUMMYFUNCTION("IF(B63="""","""",ROUND(XLOOKUP(B63, FLATTEN(B$1:E62), FLATTEN(O$1:R62), 500, 0, -1)))"),537.0)</f>
        <v>537</v>
      </c>
      <c r="H63" s="9">
        <f>IFERROR(__xludf.DUMMYFUNCTION("IF(C63="""","""",ROUND(XLOOKUP(C63, FLATTEN(B$1:E62), FLATTEN(O$1:R62), 500, 0, -1)))"),588.0)</f>
        <v>588</v>
      </c>
      <c r="I63" s="9">
        <f>IFERROR(__xludf.DUMMYFUNCTION("IF(D63="""","""",ROUND(XLOOKUP(D63, FLATTEN(B$1:E62), FLATTEN(O$1:R62), 500, 0, -1)))"),547.0)</f>
        <v>547</v>
      </c>
      <c r="J63" s="9">
        <f>IFERROR(__xludf.DUMMYFUNCTION("IF(E63="""","""",ROUND(XLOOKUP(E63, FLATTEN(B$1:E62), FLATTEN(O$1:R62), 500, 0, -1)))"),635.0)</f>
        <v>635</v>
      </c>
      <c r="K63" s="9">
        <f t="shared" si="2"/>
        <v>560</v>
      </c>
      <c r="L63" s="9">
        <f t="shared" si="3"/>
        <v>585</v>
      </c>
      <c r="M63" s="32">
        <f t="shared" si="4"/>
        <v>0.46</v>
      </c>
      <c r="N63" s="9">
        <f t="shared" si="5"/>
        <v>22</v>
      </c>
      <c r="O63" s="9">
        <f t="shared" si="6"/>
        <v>562</v>
      </c>
      <c r="P63" s="9">
        <f t="shared" si="7"/>
        <v>613</v>
      </c>
      <c r="Q63" s="9">
        <f t="shared" si="8"/>
        <v>525</v>
      </c>
      <c r="R63" s="9">
        <f t="shared" si="9"/>
        <v>613</v>
      </c>
    </row>
    <row r="64">
      <c r="A64" s="1">
        <f t="shared" si="1"/>
        <v>63</v>
      </c>
      <c r="B64" s="1" t="s">
        <v>21</v>
      </c>
      <c r="C64" s="1" t="s">
        <v>59</v>
      </c>
      <c r="D64" s="1" t="s">
        <v>57</v>
      </c>
      <c r="E64" s="1" t="s">
        <v>22</v>
      </c>
      <c r="F64" s="5">
        <v>1.0</v>
      </c>
      <c r="G64" s="9">
        <f>IFERROR(__xludf.DUMMYFUNCTION("IF(B64="""","""",ROUND(XLOOKUP(B64, FLATTEN(B$1:E63), FLATTEN(O$1:R63), 500, 0, -1)))"),523.0)</f>
        <v>523</v>
      </c>
      <c r="H64" s="9">
        <f>IFERROR(__xludf.DUMMYFUNCTION("IF(C64="""","""",ROUND(XLOOKUP(C64, FLATTEN(B$1:E63), FLATTEN(O$1:R63), 500, 0, -1)))"),553.0)</f>
        <v>553</v>
      </c>
      <c r="I64" s="9">
        <f>IFERROR(__xludf.DUMMYFUNCTION("IF(D64="""","""",ROUND(XLOOKUP(D64, FLATTEN(B$1:E63), FLATTEN(O$1:R63), 500, 0, -1)))"),525.0)</f>
        <v>525</v>
      </c>
      <c r="J64" s="9">
        <f>IFERROR(__xludf.DUMMYFUNCTION("IF(E64="""","""",ROUND(XLOOKUP(E64, FLATTEN(B$1:E63), FLATTEN(O$1:R63), 500, 0, -1)))"),613.0)</f>
        <v>613</v>
      </c>
      <c r="K64" s="9">
        <f t="shared" si="2"/>
        <v>537</v>
      </c>
      <c r="L64" s="9">
        <f t="shared" si="3"/>
        <v>563</v>
      </c>
      <c r="M64" s="32">
        <f t="shared" si="4"/>
        <v>0.46</v>
      </c>
      <c r="N64" s="9">
        <f t="shared" si="5"/>
        <v>22</v>
      </c>
      <c r="O64" s="9">
        <f t="shared" si="6"/>
        <v>548</v>
      </c>
      <c r="P64" s="9">
        <f t="shared" si="7"/>
        <v>578</v>
      </c>
      <c r="Q64" s="9">
        <f t="shared" si="8"/>
        <v>503</v>
      </c>
      <c r="R64" s="9">
        <f t="shared" si="9"/>
        <v>591</v>
      </c>
    </row>
    <row r="65">
      <c r="A65" s="1">
        <f t="shared" si="1"/>
        <v>64</v>
      </c>
      <c r="B65" s="1" t="s">
        <v>47</v>
      </c>
      <c r="C65" s="1" t="s">
        <v>23</v>
      </c>
      <c r="D65" s="1" t="s">
        <v>48</v>
      </c>
      <c r="E65" s="1" t="s">
        <v>20</v>
      </c>
      <c r="F65" s="5">
        <v>1.0</v>
      </c>
      <c r="G65" s="9">
        <f>IFERROR(__xludf.DUMMYFUNCTION("IF(B65="""","""",ROUND(XLOOKUP(B65, FLATTEN(B$1:E64), FLATTEN(O$1:R64), 500, 0, -1)))"),562.0)</f>
        <v>562</v>
      </c>
      <c r="H65" s="9">
        <f>IFERROR(__xludf.DUMMYFUNCTION("IF(C65="""","""",ROUND(XLOOKUP(C65, FLATTEN(B$1:E64), FLATTEN(O$1:R64), 500, 0, -1)))"),613.0)</f>
        <v>613</v>
      </c>
      <c r="I65" s="9">
        <f>IFERROR(__xludf.DUMMYFUNCTION("IF(D65="""","""",ROUND(XLOOKUP(D65, FLATTEN(B$1:E64), FLATTEN(O$1:R64), 500, 0, -1)))"),474.0)</f>
        <v>474</v>
      </c>
      <c r="J65" s="9">
        <f>IFERROR(__xludf.DUMMYFUNCTION("IF(E65="""","""",ROUND(XLOOKUP(E65, FLATTEN(B$1:E64), FLATTEN(O$1:R64), 500, 0, -1)))"),448.0)</f>
        <v>448</v>
      </c>
      <c r="K65" s="9">
        <f t="shared" si="2"/>
        <v>585</v>
      </c>
      <c r="L65" s="9">
        <f t="shared" si="3"/>
        <v>460</v>
      </c>
      <c r="M65" s="32">
        <f t="shared" si="4"/>
        <v>0.67</v>
      </c>
      <c r="N65" s="9">
        <f t="shared" si="5"/>
        <v>13</v>
      </c>
      <c r="O65" s="9">
        <f t="shared" si="6"/>
        <v>578</v>
      </c>
      <c r="P65" s="9">
        <f t="shared" si="7"/>
        <v>629</v>
      </c>
      <c r="Q65" s="9">
        <f t="shared" si="8"/>
        <v>461</v>
      </c>
      <c r="R65" s="9">
        <f t="shared" si="9"/>
        <v>435</v>
      </c>
    </row>
    <row r="66">
      <c r="A66" s="1">
        <f t="shared" si="1"/>
        <v>65</v>
      </c>
      <c r="B66" s="1" t="s">
        <v>47</v>
      </c>
      <c r="C66" s="1" t="s">
        <v>23</v>
      </c>
      <c r="D66" s="1" t="s">
        <v>21</v>
      </c>
      <c r="E66" s="1" t="s">
        <v>59</v>
      </c>
      <c r="F66" s="5">
        <v>1.0</v>
      </c>
      <c r="G66" s="9">
        <f>IFERROR(__xludf.DUMMYFUNCTION("IF(B66="""","""",ROUND(XLOOKUP(B66, FLATTEN(B$1:E65), FLATTEN(O$1:R65), 500, 0, -1)))"),578.0)</f>
        <v>578</v>
      </c>
      <c r="H66" s="9">
        <f>IFERROR(__xludf.DUMMYFUNCTION("IF(C66="""","""",ROUND(XLOOKUP(C66, FLATTEN(B$1:E65), FLATTEN(O$1:R65), 500, 0, -1)))"),629.0)</f>
        <v>629</v>
      </c>
      <c r="I66" s="9">
        <f>IFERROR(__xludf.DUMMYFUNCTION("IF(D66="""","""",ROUND(XLOOKUP(D66, FLATTEN(B$1:E65), FLATTEN(O$1:R65), 500, 0, -1)))"),548.0)</f>
        <v>548</v>
      </c>
      <c r="J66" s="9">
        <f>IFERROR(__xludf.DUMMYFUNCTION("IF(E66="""","""",ROUND(XLOOKUP(E66, FLATTEN(B$1:E65), FLATTEN(O$1:R65), 500, 0, -1)))"),578.0)</f>
        <v>578</v>
      </c>
      <c r="K66" s="9">
        <f t="shared" si="2"/>
        <v>601</v>
      </c>
      <c r="L66" s="9">
        <f t="shared" si="3"/>
        <v>562</v>
      </c>
      <c r="M66" s="32">
        <f t="shared" si="4"/>
        <v>0.56</v>
      </c>
      <c r="N66" s="9">
        <f t="shared" si="5"/>
        <v>18</v>
      </c>
      <c r="O66" s="9">
        <f t="shared" si="6"/>
        <v>599</v>
      </c>
      <c r="P66" s="9">
        <f t="shared" si="7"/>
        <v>650</v>
      </c>
      <c r="Q66" s="9">
        <f t="shared" si="8"/>
        <v>530</v>
      </c>
      <c r="R66" s="9">
        <f t="shared" si="9"/>
        <v>560</v>
      </c>
    </row>
    <row r="67">
      <c r="A67" s="1">
        <f t="shared" si="1"/>
        <v>66</v>
      </c>
      <c r="B67" s="1" t="s">
        <v>48</v>
      </c>
      <c r="C67" s="1" t="s">
        <v>20</v>
      </c>
      <c r="D67" s="1" t="s">
        <v>57</v>
      </c>
      <c r="E67" s="1" t="s">
        <v>22</v>
      </c>
      <c r="F67" s="5">
        <v>1.0</v>
      </c>
      <c r="G67" s="9">
        <f>IFERROR(__xludf.DUMMYFUNCTION("IF(B67="""","""",ROUND(XLOOKUP(B67, FLATTEN(B$1:E66), FLATTEN(O$1:R66), 500, 0, -1)))"),461.0)</f>
        <v>461</v>
      </c>
      <c r="H67" s="9">
        <f>IFERROR(__xludf.DUMMYFUNCTION("IF(C67="""","""",ROUND(XLOOKUP(C67, FLATTEN(B$1:E66), FLATTEN(O$1:R66), 500, 0, -1)))"),435.0)</f>
        <v>435</v>
      </c>
      <c r="I67" s="9">
        <f>IFERROR(__xludf.DUMMYFUNCTION("IF(D67="""","""",ROUND(XLOOKUP(D67, FLATTEN(B$1:E66), FLATTEN(O$1:R66), 500, 0, -1)))"),503.0)</f>
        <v>503</v>
      </c>
      <c r="J67" s="9">
        <f>IFERROR(__xludf.DUMMYFUNCTION("IF(E67="""","""",ROUND(XLOOKUP(E67, FLATTEN(B$1:E66), FLATTEN(O$1:R66), 500, 0, -1)))"),591.0)</f>
        <v>591</v>
      </c>
      <c r="K67" s="9">
        <f t="shared" si="2"/>
        <v>447</v>
      </c>
      <c r="L67" s="9">
        <f t="shared" si="3"/>
        <v>541</v>
      </c>
      <c r="M67" s="32">
        <f t="shared" si="4"/>
        <v>0.37</v>
      </c>
      <c r="N67" s="9">
        <f t="shared" si="5"/>
        <v>25</v>
      </c>
      <c r="O67" s="9">
        <f t="shared" si="6"/>
        <v>489</v>
      </c>
      <c r="P67" s="9">
        <f t="shared" si="7"/>
        <v>463</v>
      </c>
      <c r="Q67" s="9">
        <f t="shared" si="8"/>
        <v>478</v>
      </c>
      <c r="R67" s="9">
        <f t="shared" si="9"/>
        <v>566</v>
      </c>
    </row>
    <row r="68">
      <c r="A68" s="1">
        <f t="shared" si="1"/>
        <v>67</v>
      </c>
      <c r="B68" s="1" t="s">
        <v>48</v>
      </c>
      <c r="C68" s="1" t="s">
        <v>20</v>
      </c>
      <c r="D68" s="1" t="s">
        <v>21</v>
      </c>
      <c r="E68" s="1" t="s">
        <v>59</v>
      </c>
      <c r="F68" s="5">
        <v>1.0</v>
      </c>
      <c r="G68" s="9">
        <f>IFERROR(__xludf.DUMMYFUNCTION("IF(B68="""","""",ROUND(XLOOKUP(B68, FLATTEN(B$1:E67), FLATTEN(O$1:R67), 500, 0, -1)))"),489.0)</f>
        <v>489</v>
      </c>
      <c r="H68" s="9">
        <f>IFERROR(__xludf.DUMMYFUNCTION("IF(C68="""","""",ROUND(XLOOKUP(C68, FLATTEN(B$1:E67), FLATTEN(O$1:R67), 500, 0, -1)))"),463.0)</f>
        <v>463</v>
      </c>
      <c r="I68" s="9">
        <f>IFERROR(__xludf.DUMMYFUNCTION("IF(D68="""","""",ROUND(XLOOKUP(D68, FLATTEN(B$1:E67), FLATTEN(O$1:R67), 500, 0, -1)))"),530.0)</f>
        <v>530</v>
      </c>
      <c r="J68" s="9">
        <f>IFERROR(__xludf.DUMMYFUNCTION("IF(E68="""","""",ROUND(XLOOKUP(E68, FLATTEN(B$1:E67), FLATTEN(O$1:R67), 500, 0, -1)))"),560.0)</f>
        <v>560</v>
      </c>
      <c r="K68" s="9">
        <f t="shared" si="2"/>
        <v>475</v>
      </c>
      <c r="L68" s="9">
        <f t="shared" si="3"/>
        <v>544</v>
      </c>
      <c r="M68" s="32">
        <f t="shared" si="4"/>
        <v>0.4</v>
      </c>
      <c r="N68" s="9">
        <f t="shared" si="5"/>
        <v>24</v>
      </c>
      <c r="O68" s="9">
        <f t="shared" si="6"/>
        <v>516</v>
      </c>
      <c r="P68" s="9">
        <f t="shared" si="7"/>
        <v>490</v>
      </c>
      <c r="Q68" s="9">
        <f t="shared" si="8"/>
        <v>506</v>
      </c>
      <c r="R68" s="9">
        <f t="shared" si="9"/>
        <v>536</v>
      </c>
    </row>
    <row r="69">
      <c r="A69" s="1">
        <f t="shared" si="1"/>
        <v>68</v>
      </c>
      <c r="B69" s="1" t="s">
        <v>57</v>
      </c>
      <c r="C69" s="1" t="s">
        <v>22</v>
      </c>
      <c r="D69" s="1" t="s">
        <v>47</v>
      </c>
      <c r="E69" s="1" t="s">
        <v>23</v>
      </c>
      <c r="F69" s="5">
        <v>1.0</v>
      </c>
      <c r="G69" s="9">
        <f>IFERROR(__xludf.DUMMYFUNCTION("IF(B69="""","""",ROUND(XLOOKUP(B69, FLATTEN(B$1:E68), FLATTEN(O$1:R68), 500, 0, -1)))"),478.0)</f>
        <v>478</v>
      </c>
      <c r="H69" s="9">
        <f>IFERROR(__xludf.DUMMYFUNCTION("IF(C69="""","""",ROUND(XLOOKUP(C69, FLATTEN(B$1:E68), FLATTEN(O$1:R68), 500, 0, -1)))"),566.0)</f>
        <v>566</v>
      </c>
      <c r="I69" s="9">
        <f>IFERROR(__xludf.DUMMYFUNCTION("IF(D69="""","""",ROUND(XLOOKUP(D69, FLATTEN(B$1:E68), FLATTEN(O$1:R68), 500, 0, -1)))"),599.0)</f>
        <v>599</v>
      </c>
      <c r="J69" s="9">
        <f>IFERROR(__xludf.DUMMYFUNCTION("IF(E69="""","""",ROUND(XLOOKUP(E69, FLATTEN(B$1:E68), FLATTEN(O$1:R68), 500, 0, -1)))"),650.0)</f>
        <v>650</v>
      </c>
      <c r="K69" s="9">
        <f t="shared" si="2"/>
        <v>516</v>
      </c>
      <c r="L69" s="9">
        <f t="shared" si="3"/>
        <v>622</v>
      </c>
      <c r="M69" s="32">
        <f t="shared" si="4"/>
        <v>0.35</v>
      </c>
      <c r="N69" s="9">
        <f t="shared" si="5"/>
        <v>26</v>
      </c>
      <c r="O69" s="9">
        <f t="shared" si="6"/>
        <v>507</v>
      </c>
      <c r="P69" s="9">
        <f t="shared" si="7"/>
        <v>595</v>
      </c>
      <c r="Q69" s="9">
        <f t="shared" si="8"/>
        <v>573</v>
      </c>
      <c r="R69" s="9">
        <f t="shared" si="9"/>
        <v>624</v>
      </c>
    </row>
    <row r="70">
      <c r="A70" s="1">
        <f t="shared" si="1"/>
        <v>69</v>
      </c>
      <c r="B70" s="1" t="s">
        <v>57</v>
      </c>
      <c r="C70" s="1" t="s">
        <v>22</v>
      </c>
      <c r="D70" s="1" t="s">
        <v>21</v>
      </c>
      <c r="E70" s="1" t="s">
        <v>59</v>
      </c>
      <c r="F70" s="5">
        <v>1.0</v>
      </c>
      <c r="G70" s="9">
        <f>IFERROR(__xludf.DUMMYFUNCTION("IF(B70="""","""",ROUND(XLOOKUP(B70, FLATTEN(B$1:E69), FLATTEN(O$1:R69), 500, 0, -1)))"),507.0)</f>
        <v>507</v>
      </c>
      <c r="H70" s="9">
        <f>IFERROR(__xludf.DUMMYFUNCTION("IF(C70="""","""",ROUND(XLOOKUP(C70, FLATTEN(B$1:E69), FLATTEN(O$1:R69), 500, 0, -1)))"),595.0)</f>
        <v>595</v>
      </c>
      <c r="I70" s="9">
        <f>IFERROR(__xludf.DUMMYFUNCTION("IF(D70="""","""",ROUND(XLOOKUP(D70, FLATTEN(B$1:E69), FLATTEN(O$1:R69), 500, 0, -1)))"),506.0)</f>
        <v>506</v>
      </c>
      <c r="J70" s="9">
        <f>IFERROR(__xludf.DUMMYFUNCTION("IF(E70="""","""",ROUND(XLOOKUP(E70, FLATTEN(B$1:E69), FLATTEN(O$1:R69), 500, 0, -1)))"),536.0)</f>
        <v>536</v>
      </c>
      <c r="K70" s="9">
        <f t="shared" si="2"/>
        <v>545</v>
      </c>
      <c r="L70" s="9">
        <f t="shared" si="3"/>
        <v>520</v>
      </c>
      <c r="M70" s="32">
        <f t="shared" si="4"/>
        <v>0.54</v>
      </c>
      <c r="N70" s="9">
        <f t="shared" si="5"/>
        <v>18</v>
      </c>
      <c r="O70" s="9">
        <f t="shared" si="6"/>
        <v>528</v>
      </c>
      <c r="P70" s="9">
        <f t="shared" si="7"/>
        <v>616</v>
      </c>
      <c r="Q70" s="9">
        <f t="shared" si="8"/>
        <v>488</v>
      </c>
      <c r="R70" s="9">
        <f t="shared" si="9"/>
        <v>518</v>
      </c>
    </row>
    <row r="71">
      <c r="A71" s="1">
        <f t="shared" si="1"/>
        <v>70</v>
      </c>
      <c r="B71" s="1" t="s">
        <v>47</v>
      </c>
      <c r="C71" s="1" t="s">
        <v>23</v>
      </c>
      <c r="D71" s="1" t="s">
        <v>48</v>
      </c>
      <c r="E71" s="1" t="s">
        <v>20</v>
      </c>
      <c r="F71" s="5">
        <v>1.0</v>
      </c>
      <c r="G71" s="9">
        <f>IFERROR(__xludf.DUMMYFUNCTION("IF(B71="""","""",ROUND(XLOOKUP(B71, FLATTEN(B$1:E70), FLATTEN(O$1:R70), 500, 0, -1)))"),573.0)</f>
        <v>573</v>
      </c>
      <c r="H71" s="9">
        <f>IFERROR(__xludf.DUMMYFUNCTION("IF(C71="""","""",ROUND(XLOOKUP(C71, FLATTEN(B$1:E70), FLATTEN(O$1:R70), 500, 0, -1)))"),624.0)</f>
        <v>624</v>
      </c>
      <c r="I71" s="9">
        <f>IFERROR(__xludf.DUMMYFUNCTION("IF(D71="""","""",ROUND(XLOOKUP(D71, FLATTEN(B$1:E70), FLATTEN(O$1:R70), 500, 0, -1)))"),516.0)</f>
        <v>516</v>
      </c>
      <c r="J71" s="9">
        <f>IFERROR(__xludf.DUMMYFUNCTION("IF(E71="""","""",ROUND(XLOOKUP(E71, FLATTEN(B$1:E70), FLATTEN(O$1:R70), 500, 0, -1)))"),490.0)</f>
        <v>490</v>
      </c>
      <c r="K71" s="9">
        <f t="shared" si="2"/>
        <v>596</v>
      </c>
      <c r="L71" s="9">
        <f t="shared" si="3"/>
        <v>502</v>
      </c>
      <c r="M71" s="32">
        <f t="shared" si="4"/>
        <v>0.63</v>
      </c>
      <c r="N71" s="9">
        <f t="shared" si="5"/>
        <v>15</v>
      </c>
      <c r="O71" s="9">
        <f t="shared" si="6"/>
        <v>591</v>
      </c>
      <c r="P71" s="9">
        <f t="shared" si="7"/>
        <v>642</v>
      </c>
      <c r="Q71" s="9">
        <f t="shared" si="8"/>
        <v>501</v>
      </c>
      <c r="R71" s="9">
        <f t="shared" si="9"/>
        <v>475</v>
      </c>
    </row>
    <row r="72">
      <c r="A72" s="1">
        <f t="shared" si="1"/>
        <v>71</v>
      </c>
      <c r="B72" s="1" t="s">
        <v>20</v>
      </c>
      <c r="C72" s="1" t="s">
        <v>72</v>
      </c>
      <c r="D72" s="1" t="s">
        <v>48</v>
      </c>
      <c r="E72" s="1" t="s">
        <v>48</v>
      </c>
      <c r="F72" s="1">
        <v>1.0</v>
      </c>
      <c r="G72" s="9">
        <f>IFERROR(__xludf.DUMMYFUNCTION("IF(B72="""","""",ROUND(XLOOKUP(B72, FLATTEN(B$1:E71), FLATTEN(O$1:R71), 500, 0, -1)))"),475.0)</f>
        <v>475</v>
      </c>
      <c r="H72" s="9">
        <f>IFERROR(__xludf.DUMMYFUNCTION("IF(C72="""","""",ROUND(XLOOKUP(C72, FLATTEN(B$1:E71), FLATTEN(O$1:R71), 500, 0, -1)))"),502.0)</f>
        <v>502</v>
      </c>
      <c r="I72" s="9">
        <f>IFERROR(__xludf.DUMMYFUNCTION("IF(D72="""","""",ROUND(XLOOKUP(D72, FLATTEN(B$1:E71), FLATTEN(O$1:R71), 500, 0, -1)))"),501.0)</f>
        <v>501</v>
      </c>
      <c r="J72" s="9">
        <f>IFERROR(__xludf.DUMMYFUNCTION("IF(E72="""","""",ROUND(XLOOKUP(E72, FLATTEN(B$1:E71), FLATTEN(O$1:R71), 500, 0, -1)))"),501.0)</f>
        <v>501</v>
      </c>
      <c r="K72" s="9">
        <f t="shared" si="2"/>
        <v>488</v>
      </c>
      <c r="L72" s="9">
        <f t="shared" si="3"/>
        <v>501</v>
      </c>
      <c r="M72" s="32">
        <f t="shared" si="4"/>
        <v>0.48</v>
      </c>
      <c r="N72" s="9">
        <f t="shared" si="5"/>
        <v>21</v>
      </c>
      <c r="O72" s="9">
        <f t="shared" si="6"/>
        <v>499</v>
      </c>
      <c r="P72" s="9">
        <f t="shared" si="7"/>
        <v>526</v>
      </c>
      <c r="Q72" s="9">
        <f t="shared" si="8"/>
        <v>480</v>
      </c>
      <c r="R72" s="9">
        <f t="shared" si="9"/>
        <v>480</v>
      </c>
    </row>
    <row r="73">
      <c r="A73" s="1">
        <f t="shared" si="1"/>
        <v>72</v>
      </c>
      <c r="B73" s="1" t="s">
        <v>23</v>
      </c>
      <c r="C73" s="1" t="s">
        <v>59</v>
      </c>
      <c r="D73" s="1" t="s">
        <v>20</v>
      </c>
      <c r="E73" s="1" t="s">
        <v>72</v>
      </c>
      <c r="F73" s="1">
        <v>1.0</v>
      </c>
      <c r="G73" s="9">
        <f>IFERROR(__xludf.DUMMYFUNCTION("IF(B73="""","""",ROUND(XLOOKUP(B73, FLATTEN(B$1:E72), FLATTEN(O$1:R72), 500, 0, -1)))"),642.0)</f>
        <v>642</v>
      </c>
      <c r="H73" s="9">
        <f>IFERROR(__xludf.DUMMYFUNCTION("IF(C73="""","""",ROUND(XLOOKUP(C73, FLATTEN(B$1:E72), FLATTEN(O$1:R72), 500, 0, -1)))"),518.0)</f>
        <v>518</v>
      </c>
      <c r="I73" s="9">
        <f>IFERROR(__xludf.DUMMYFUNCTION("IF(D73="""","""",ROUND(XLOOKUP(D73, FLATTEN(B$1:E72), FLATTEN(O$1:R72), 500, 0, -1)))"),499.0)</f>
        <v>499</v>
      </c>
      <c r="J73" s="9">
        <f>IFERROR(__xludf.DUMMYFUNCTION("IF(E73="""","""",ROUND(XLOOKUP(E73, FLATTEN(B$1:E72), FLATTEN(O$1:R72), 500, 0, -1)))"),526.0)</f>
        <v>526</v>
      </c>
      <c r="K73" s="9">
        <f t="shared" si="2"/>
        <v>567</v>
      </c>
      <c r="L73" s="9">
        <f t="shared" si="3"/>
        <v>512</v>
      </c>
      <c r="M73" s="32">
        <f t="shared" si="4"/>
        <v>0.58</v>
      </c>
      <c r="N73" s="9">
        <f t="shared" si="5"/>
        <v>17</v>
      </c>
      <c r="O73" s="9">
        <f t="shared" si="6"/>
        <v>662</v>
      </c>
      <c r="P73" s="9">
        <f t="shared" si="7"/>
        <v>538</v>
      </c>
      <c r="Q73" s="9">
        <f t="shared" si="8"/>
        <v>482</v>
      </c>
      <c r="R73" s="9">
        <f t="shared" si="9"/>
        <v>509</v>
      </c>
    </row>
    <row r="74">
      <c r="A74" s="1">
        <f t="shared" si="1"/>
        <v>73</v>
      </c>
      <c r="B74" s="1" t="s">
        <v>48</v>
      </c>
      <c r="C74" s="1" t="s">
        <v>48</v>
      </c>
      <c r="D74" s="1" t="s">
        <v>23</v>
      </c>
      <c r="E74" s="1" t="s">
        <v>59</v>
      </c>
      <c r="F74" s="1">
        <v>1.0</v>
      </c>
      <c r="G74" s="9">
        <f>IFERROR(__xludf.DUMMYFUNCTION("IF(B74="""","""",ROUND(XLOOKUP(B74, FLATTEN(B$1:E73), FLATTEN(O$1:R73), 500, 0, -1)))"),480.0)</f>
        <v>480</v>
      </c>
      <c r="H74" s="9">
        <f>IFERROR(__xludf.DUMMYFUNCTION("IF(C74="""","""",ROUND(XLOOKUP(C74, FLATTEN(B$1:E73), FLATTEN(O$1:R73), 500, 0, -1)))"),480.0)</f>
        <v>480</v>
      </c>
      <c r="I74" s="9">
        <f>IFERROR(__xludf.DUMMYFUNCTION("IF(D74="""","""",ROUND(XLOOKUP(D74, FLATTEN(B$1:E73), FLATTEN(O$1:R73), 500, 0, -1)))"),662.0)</f>
        <v>662</v>
      </c>
      <c r="J74" s="9">
        <f>IFERROR(__xludf.DUMMYFUNCTION("IF(E74="""","""",ROUND(XLOOKUP(E74, FLATTEN(B$1:E73), FLATTEN(O$1:R73), 500, 0, -1)))"),538.0)</f>
        <v>538</v>
      </c>
      <c r="K74" s="9">
        <f t="shared" si="2"/>
        <v>480</v>
      </c>
      <c r="L74" s="9">
        <f t="shared" si="3"/>
        <v>587</v>
      </c>
      <c r="M74" s="32">
        <f t="shared" si="4"/>
        <v>0.35</v>
      </c>
      <c r="N74" s="9">
        <f t="shared" si="5"/>
        <v>26</v>
      </c>
      <c r="O74" s="9">
        <f t="shared" si="6"/>
        <v>509</v>
      </c>
      <c r="P74" s="9">
        <f t="shared" si="7"/>
        <v>509</v>
      </c>
      <c r="Q74" s="9">
        <f t="shared" si="8"/>
        <v>636</v>
      </c>
      <c r="R74" s="9">
        <f t="shared" si="9"/>
        <v>512</v>
      </c>
    </row>
    <row r="75">
      <c r="A75" s="1">
        <f t="shared" si="1"/>
        <v>74</v>
      </c>
      <c r="B75" s="1" t="s">
        <v>48</v>
      </c>
      <c r="C75" s="1" t="s">
        <v>48</v>
      </c>
      <c r="D75" s="1" t="s">
        <v>20</v>
      </c>
      <c r="E75" s="1" t="s">
        <v>72</v>
      </c>
      <c r="F75" s="1">
        <v>1.0</v>
      </c>
      <c r="G75" s="9">
        <f>IFERROR(__xludf.DUMMYFUNCTION("IF(B75="""","""",ROUND(XLOOKUP(B75, FLATTEN(B$1:E74), FLATTEN(O$1:R74), 500, 0, -1)))"),509.0)</f>
        <v>509</v>
      </c>
      <c r="H75" s="9">
        <f>IFERROR(__xludf.DUMMYFUNCTION("IF(C75="""","""",ROUND(XLOOKUP(C75, FLATTEN(B$1:E74), FLATTEN(O$1:R74), 500, 0, -1)))"),509.0)</f>
        <v>509</v>
      </c>
      <c r="I75" s="9">
        <f>IFERROR(__xludf.DUMMYFUNCTION("IF(D75="""","""",ROUND(XLOOKUP(D75, FLATTEN(B$1:E74), FLATTEN(O$1:R74), 500, 0, -1)))"),482.0)</f>
        <v>482</v>
      </c>
      <c r="J75" s="9">
        <f>IFERROR(__xludf.DUMMYFUNCTION("IF(E75="""","""",ROUND(XLOOKUP(E75, FLATTEN(B$1:E74), FLATTEN(O$1:R74), 500, 0, -1)))"),509.0)</f>
        <v>509</v>
      </c>
      <c r="K75" s="9">
        <f t="shared" si="2"/>
        <v>509</v>
      </c>
      <c r="L75" s="9">
        <f t="shared" si="3"/>
        <v>495</v>
      </c>
      <c r="M75" s="32">
        <f t="shared" si="4"/>
        <v>0.52</v>
      </c>
      <c r="N75" s="9">
        <f t="shared" si="5"/>
        <v>19</v>
      </c>
      <c r="O75" s="9">
        <f t="shared" si="6"/>
        <v>531</v>
      </c>
      <c r="P75" s="9">
        <f t="shared" si="7"/>
        <v>531</v>
      </c>
      <c r="Q75" s="9">
        <f t="shared" si="8"/>
        <v>463</v>
      </c>
      <c r="R75" s="9">
        <f t="shared" si="9"/>
        <v>490</v>
      </c>
    </row>
    <row r="76">
      <c r="A76" s="1">
        <f t="shared" si="1"/>
        <v>75</v>
      </c>
      <c r="B76" s="1" t="s">
        <v>23</v>
      </c>
      <c r="C76" s="1" t="s">
        <v>59</v>
      </c>
      <c r="D76" s="1" t="s">
        <v>48</v>
      </c>
      <c r="E76" s="1" t="s">
        <v>48</v>
      </c>
      <c r="F76" s="1">
        <v>1.0</v>
      </c>
      <c r="G76" s="9">
        <f>IFERROR(__xludf.DUMMYFUNCTION("IF(B76="""","""",ROUND(XLOOKUP(B76, FLATTEN(B$1:E75), FLATTEN(O$1:R75), 500, 0, -1)))"),636.0)</f>
        <v>636</v>
      </c>
      <c r="H76" s="9">
        <f>IFERROR(__xludf.DUMMYFUNCTION("IF(C76="""","""",ROUND(XLOOKUP(C76, FLATTEN(B$1:E75), FLATTEN(O$1:R75), 500, 0, -1)))"),512.0)</f>
        <v>512</v>
      </c>
      <c r="I76" s="9">
        <f>IFERROR(__xludf.DUMMYFUNCTION("IF(D76="""","""",ROUND(XLOOKUP(D76, FLATTEN(B$1:E75), FLATTEN(O$1:R75), 500, 0, -1)))"),531.0)</f>
        <v>531</v>
      </c>
      <c r="J76" s="9">
        <f>IFERROR(__xludf.DUMMYFUNCTION("IF(E76="""","""",ROUND(XLOOKUP(E76, FLATTEN(B$1:E75), FLATTEN(O$1:R75), 500, 0, -1)))"),531.0)</f>
        <v>531</v>
      </c>
      <c r="K76" s="9">
        <f t="shared" si="2"/>
        <v>561</v>
      </c>
      <c r="L76" s="9">
        <f t="shared" si="3"/>
        <v>531</v>
      </c>
      <c r="M76" s="32">
        <f t="shared" si="4"/>
        <v>0.54</v>
      </c>
      <c r="N76" s="9">
        <f t="shared" si="5"/>
        <v>18</v>
      </c>
      <c r="O76" s="9">
        <f t="shared" si="6"/>
        <v>657</v>
      </c>
      <c r="P76" s="9">
        <f t="shared" si="7"/>
        <v>533</v>
      </c>
      <c r="Q76" s="9">
        <f t="shared" si="8"/>
        <v>513</v>
      </c>
      <c r="R76" s="9">
        <f t="shared" si="9"/>
        <v>513</v>
      </c>
    </row>
    <row r="77">
      <c r="A77" s="1">
        <f t="shared" si="1"/>
        <v>76</v>
      </c>
      <c r="B77" s="1" t="s">
        <v>20</v>
      </c>
      <c r="C77" s="1" t="s">
        <v>72</v>
      </c>
      <c r="D77" s="1" t="s">
        <v>23</v>
      </c>
      <c r="E77" s="1" t="s">
        <v>59</v>
      </c>
      <c r="F77" s="1">
        <v>1.0</v>
      </c>
      <c r="G77" s="9">
        <f>IFERROR(__xludf.DUMMYFUNCTION("IF(B77="""","""",ROUND(XLOOKUP(B77, FLATTEN(B$1:E76), FLATTEN(O$1:R76), 500, 0, -1)))"),463.0)</f>
        <v>463</v>
      </c>
      <c r="H77" s="9">
        <f>IFERROR(__xludf.DUMMYFUNCTION("IF(C77="""","""",ROUND(XLOOKUP(C77, FLATTEN(B$1:E76), FLATTEN(O$1:R76), 500, 0, -1)))"),490.0)</f>
        <v>490</v>
      </c>
      <c r="I77" s="9">
        <f>IFERROR(__xludf.DUMMYFUNCTION("IF(D77="""","""",ROUND(XLOOKUP(D77, FLATTEN(B$1:E76), FLATTEN(O$1:R76), 500, 0, -1)))"),657.0)</f>
        <v>657</v>
      </c>
      <c r="J77" s="9">
        <f>IFERROR(__xludf.DUMMYFUNCTION("IF(E77="""","""",ROUND(XLOOKUP(E77, FLATTEN(B$1:E76), FLATTEN(O$1:R76), 500, 0, -1)))"),533.0)</f>
        <v>533</v>
      </c>
      <c r="K77" s="9">
        <f t="shared" si="2"/>
        <v>476</v>
      </c>
      <c r="L77" s="9">
        <f t="shared" si="3"/>
        <v>582</v>
      </c>
      <c r="M77" s="32">
        <f t="shared" si="4"/>
        <v>0.35</v>
      </c>
      <c r="N77" s="9">
        <f t="shared" si="5"/>
        <v>26</v>
      </c>
      <c r="O77" s="9">
        <f t="shared" si="6"/>
        <v>492</v>
      </c>
      <c r="P77" s="9">
        <f t="shared" si="7"/>
        <v>519</v>
      </c>
      <c r="Q77" s="9">
        <f t="shared" si="8"/>
        <v>631</v>
      </c>
      <c r="R77" s="9">
        <f t="shared" si="9"/>
        <v>507</v>
      </c>
    </row>
    <row r="78">
      <c r="A78" s="1">
        <f t="shared" si="1"/>
        <v>77</v>
      </c>
      <c r="B78" s="1" t="s">
        <v>48</v>
      </c>
      <c r="C78" s="1" t="s">
        <v>48</v>
      </c>
      <c r="D78" s="1" t="s">
        <v>20</v>
      </c>
      <c r="E78" s="1" t="s">
        <v>72</v>
      </c>
      <c r="F78" s="1">
        <v>1.0</v>
      </c>
      <c r="G78" s="9">
        <f>IFERROR(__xludf.DUMMYFUNCTION("IF(B78="""","""",ROUND(XLOOKUP(B78, FLATTEN(B$1:E77), FLATTEN(O$1:R77), 500, 0, -1)))"),513.0)</f>
        <v>513</v>
      </c>
      <c r="H78" s="9">
        <f>IFERROR(__xludf.DUMMYFUNCTION("IF(C78="""","""",ROUND(XLOOKUP(C78, FLATTEN(B$1:E77), FLATTEN(O$1:R77), 500, 0, -1)))"),513.0)</f>
        <v>513</v>
      </c>
      <c r="I78" s="9">
        <f>IFERROR(__xludf.DUMMYFUNCTION("IF(D78="""","""",ROUND(XLOOKUP(D78, FLATTEN(B$1:E77), FLATTEN(O$1:R77), 500, 0, -1)))"),492.0)</f>
        <v>492</v>
      </c>
      <c r="J78" s="9">
        <f>IFERROR(__xludf.DUMMYFUNCTION("IF(E78="""","""",ROUND(XLOOKUP(E78, FLATTEN(B$1:E77), FLATTEN(O$1:R77), 500, 0, -1)))"),519.0)</f>
        <v>519</v>
      </c>
      <c r="K78" s="9">
        <f t="shared" si="2"/>
        <v>513</v>
      </c>
      <c r="L78" s="9">
        <f t="shared" si="3"/>
        <v>505</v>
      </c>
      <c r="M78" s="32">
        <f t="shared" si="4"/>
        <v>0.51</v>
      </c>
      <c r="N78" s="9">
        <f t="shared" si="5"/>
        <v>20</v>
      </c>
      <c r="O78" s="9">
        <f t="shared" si="6"/>
        <v>536</v>
      </c>
      <c r="P78" s="9">
        <f t="shared" si="7"/>
        <v>536</v>
      </c>
      <c r="Q78" s="9">
        <f t="shared" si="8"/>
        <v>472</v>
      </c>
      <c r="R78" s="9">
        <f t="shared" si="9"/>
        <v>499</v>
      </c>
    </row>
    <row r="79">
      <c r="A79" s="1">
        <f t="shared" si="1"/>
        <v>78</v>
      </c>
      <c r="B79" s="1" t="s">
        <v>48</v>
      </c>
      <c r="C79" s="1" t="s">
        <v>21</v>
      </c>
      <c r="D79" s="1" t="s">
        <v>23</v>
      </c>
      <c r="E79" s="1" t="s">
        <v>59</v>
      </c>
      <c r="F79" s="1">
        <v>1.0</v>
      </c>
      <c r="G79" s="9">
        <f>IFERROR(__xludf.DUMMYFUNCTION("IF(B79="""","""",ROUND(XLOOKUP(B79, FLATTEN(B$1:E78), FLATTEN(O$1:R78), 500, 0, -1)))"),536.0)</f>
        <v>536</v>
      </c>
      <c r="H79" s="9">
        <f>IFERROR(__xludf.DUMMYFUNCTION("IF(C79="""","""",ROUND(XLOOKUP(C79, FLATTEN(B$1:E78), FLATTEN(O$1:R78), 500, 0, -1)))"),488.0)</f>
        <v>488</v>
      </c>
      <c r="I79" s="9">
        <f>IFERROR(__xludf.DUMMYFUNCTION("IF(D79="""","""",ROUND(XLOOKUP(D79, FLATTEN(B$1:E78), FLATTEN(O$1:R78), 500, 0, -1)))"),631.0)</f>
        <v>631</v>
      </c>
      <c r="J79" s="9">
        <f>IFERROR(__xludf.DUMMYFUNCTION("IF(E79="""","""",ROUND(XLOOKUP(E79, FLATTEN(B$1:E78), FLATTEN(O$1:R78), 500, 0, -1)))"),507.0)</f>
        <v>507</v>
      </c>
      <c r="K79" s="9">
        <f t="shared" si="2"/>
        <v>510</v>
      </c>
      <c r="L79" s="9">
        <f t="shared" si="3"/>
        <v>556</v>
      </c>
      <c r="M79" s="32">
        <f t="shared" si="4"/>
        <v>0.43</v>
      </c>
      <c r="N79" s="9">
        <f t="shared" si="5"/>
        <v>23</v>
      </c>
      <c r="O79" s="9">
        <f t="shared" si="6"/>
        <v>562</v>
      </c>
      <c r="P79" s="9">
        <f t="shared" si="7"/>
        <v>514</v>
      </c>
      <c r="Q79" s="9">
        <f t="shared" si="8"/>
        <v>608</v>
      </c>
      <c r="R79" s="9">
        <f t="shared" si="9"/>
        <v>484</v>
      </c>
    </row>
    <row r="80">
      <c r="A80" s="1">
        <f t="shared" si="1"/>
        <v>79</v>
      </c>
      <c r="B80" s="1" t="s">
        <v>48</v>
      </c>
      <c r="C80" s="1" t="s">
        <v>21</v>
      </c>
      <c r="D80" s="1" t="s">
        <v>20</v>
      </c>
      <c r="E80" s="1" t="s">
        <v>72</v>
      </c>
      <c r="F80" s="1">
        <v>1.0</v>
      </c>
      <c r="G80" s="9">
        <f>IFERROR(__xludf.DUMMYFUNCTION("IF(B80="""","""",ROUND(XLOOKUP(B80, FLATTEN(B$1:E79), FLATTEN(O$1:R79), 500, 0, -1)))"),562.0)</f>
        <v>562</v>
      </c>
      <c r="H80" s="9">
        <f>IFERROR(__xludf.DUMMYFUNCTION("IF(C80="""","""",ROUND(XLOOKUP(C80, FLATTEN(B$1:E79), FLATTEN(O$1:R79), 500, 0, -1)))"),514.0)</f>
        <v>514</v>
      </c>
      <c r="I80" s="9">
        <f>IFERROR(__xludf.DUMMYFUNCTION("IF(D80="""","""",ROUND(XLOOKUP(D80, FLATTEN(B$1:E79), FLATTEN(O$1:R79), 500, 0, -1)))"),472.0)</f>
        <v>472</v>
      </c>
      <c r="J80" s="9">
        <f>IFERROR(__xludf.DUMMYFUNCTION("IF(E80="""","""",ROUND(XLOOKUP(E80, FLATTEN(B$1:E79), FLATTEN(O$1:R79), 500, 0, -1)))"),499.0)</f>
        <v>499</v>
      </c>
      <c r="K80" s="9">
        <f t="shared" si="2"/>
        <v>536</v>
      </c>
      <c r="L80" s="9">
        <f t="shared" si="3"/>
        <v>485</v>
      </c>
      <c r="M80" s="32">
        <f t="shared" si="4"/>
        <v>0.57</v>
      </c>
      <c r="N80" s="9">
        <f t="shared" si="5"/>
        <v>17</v>
      </c>
      <c r="O80" s="9">
        <f t="shared" si="6"/>
        <v>582</v>
      </c>
      <c r="P80" s="9">
        <f t="shared" si="7"/>
        <v>534</v>
      </c>
      <c r="Q80" s="9">
        <f t="shared" si="8"/>
        <v>455</v>
      </c>
      <c r="R80" s="9">
        <f t="shared" si="9"/>
        <v>482</v>
      </c>
    </row>
    <row r="81">
      <c r="A81" s="1" t="str">
        <f t="shared" si="1"/>
        <v/>
      </c>
      <c r="G81" s="9" t="str">
        <f>IFERROR(__xludf.DUMMYFUNCTION("IF(B81="""","""",ROUND(XLOOKUP(B81, FLATTEN(B$1:E80), FLATTEN(O$1:R80), 500, 0, -1)))"),"")</f>
        <v/>
      </c>
      <c r="H81" s="9" t="str">
        <f>IFERROR(__xludf.DUMMYFUNCTION("IF(C81="""","""",ROUND(XLOOKUP(C81, FLATTEN(B$1:E80), FLATTEN(O$1:R80), 500, 0, -1)))"),"")</f>
        <v/>
      </c>
      <c r="I81" s="9" t="str">
        <f>IFERROR(__xludf.DUMMYFUNCTION("IF(D81="""","""",ROUND(XLOOKUP(D81, FLATTEN(B$1:E80), FLATTEN(O$1:R80), 500, 0, -1)))"),"")</f>
        <v/>
      </c>
      <c r="J81" s="9" t="str">
        <f>IFERROR(__xludf.DUMMYFUNCTION("IF(E81="""","""",ROUND(XLOOKUP(E81, FLATTEN(B$1:E80), FLATTEN(O$1:R80), 500, 0, -1)))"),"")</f>
        <v/>
      </c>
      <c r="K81" s="9" t="str">
        <f t="shared" si="2"/>
        <v/>
      </c>
      <c r="L81" s="9" t="str">
        <f t="shared" si="3"/>
        <v/>
      </c>
      <c r="M81" s="32" t="str">
        <f t="shared" si="4"/>
        <v/>
      </c>
      <c r="N81" s="9" t="str">
        <f t="shared" si="5"/>
        <v/>
      </c>
      <c r="O81" s="9" t="str">
        <f t="shared" si="6"/>
        <v/>
      </c>
      <c r="P81" s="9" t="str">
        <f t="shared" si="7"/>
        <v/>
      </c>
      <c r="Q81" s="9" t="str">
        <f t="shared" si="8"/>
        <v/>
      </c>
      <c r="R81" s="9" t="str">
        <f t="shared" si="9"/>
        <v/>
      </c>
    </row>
    <row r="82">
      <c r="A82" s="1" t="str">
        <f t="shared" si="1"/>
        <v/>
      </c>
      <c r="G82" s="9" t="str">
        <f>IFERROR(__xludf.DUMMYFUNCTION("IF(B82="""","""",ROUND(XLOOKUP(B82, FLATTEN(B$1:E81), FLATTEN(O$1:R81), 500, 0, -1)))"),"")</f>
        <v/>
      </c>
      <c r="H82" s="9" t="str">
        <f>IFERROR(__xludf.DUMMYFUNCTION("IF(C82="""","""",ROUND(XLOOKUP(C82, FLATTEN(B$1:E81), FLATTEN(O$1:R81), 500, 0, -1)))"),"")</f>
        <v/>
      </c>
      <c r="I82" s="9" t="str">
        <f>IFERROR(__xludf.DUMMYFUNCTION("IF(D82="""","""",ROUND(XLOOKUP(D82, FLATTEN(B$1:E81), FLATTEN(O$1:R81), 500, 0, -1)))"),"")</f>
        <v/>
      </c>
      <c r="J82" s="9" t="str">
        <f>IFERROR(__xludf.DUMMYFUNCTION("IF(E82="""","""",ROUND(XLOOKUP(E82, FLATTEN(B$1:E81), FLATTEN(O$1:R81), 500, 0, -1)))"),"")</f>
        <v/>
      </c>
      <c r="K82" s="9" t="str">
        <f t="shared" si="2"/>
        <v/>
      </c>
      <c r="L82" s="9" t="str">
        <f t="shared" si="3"/>
        <v/>
      </c>
      <c r="M82" s="32" t="str">
        <f t="shared" si="4"/>
        <v/>
      </c>
      <c r="N82" s="9" t="str">
        <f t="shared" si="5"/>
        <v/>
      </c>
      <c r="O82" s="9" t="str">
        <f t="shared" si="6"/>
        <v/>
      </c>
      <c r="P82" s="9" t="str">
        <f t="shared" si="7"/>
        <v/>
      </c>
      <c r="Q82" s="9" t="str">
        <f t="shared" si="8"/>
        <v/>
      </c>
      <c r="R82" s="9" t="str">
        <f t="shared" si="9"/>
        <v/>
      </c>
    </row>
    <row r="83">
      <c r="A83" s="1" t="str">
        <f t="shared" si="1"/>
        <v/>
      </c>
      <c r="G83" s="9" t="str">
        <f>IFERROR(__xludf.DUMMYFUNCTION("IF(B83="""","""",ROUND(XLOOKUP(B83, FLATTEN(B$1:E82), FLATTEN(O$1:R82), 500, 0, -1)))"),"")</f>
        <v/>
      </c>
      <c r="H83" s="9" t="str">
        <f>IFERROR(__xludf.DUMMYFUNCTION("IF(C83="""","""",ROUND(XLOOKUP(C83, FLATTEN(B$1:E82), FLATTEN(O$1:R82), 500, 0, -1)))"),"")</f>
        <v/>
      </c>
      <c r="I83" s="9" t="str">
        <f>IFERROR(__xludf.DUMMYFUNCTION("IF(D83="""","""",ROUND(XLOOKUP(D83, FLATTEN(B$1:E82), FLATTEN(O$1:R82), 500, 0, -1)))"),"")</f>
        <v/>
      </c>
      <c r="J83" s="9" t="str">
        <f>IFERROR(__xludf.DUMMYFUNCTION("IF(E83="""","""",ROUND(XLOOKUP(E83, FLATTEN(B$1:E82), FLATTEN(O$1:R82), 500, 0, -1)))"),"")</f>
        <v/>
      </c>
      <c r="K83" s="9" t="str">
        <f t="shared" si="2"/>
        <v/>
      </c>
      <c r="L83" s="9" t="str">
        <f t="shared" si="3"/>
        <v/>
      </c>
      <c r="M83" s="32" t="str">
        <f t="shared" si="4"/>
        <v/>
      </c>
      <c r="N83" s="9" t="str">
        <f t="shared" si="5"/>
        <v/>
      </c>
      <c r="O83" s="9" t="str">
        <f t="shared" si="6"/>
        <v/>
      </c>
      <c r="P83" s="9" t="str">
        <f t="shared" si="7"/>
        <v/>
      </c>
      <c r="Q83" s="9" t="str">
        <f t="shared" si="8"/>
        <v/>
      </c>
      <c r="R83" s="9" t="str">
        <f t="shared" si="9"/>
        <v/>
      </c>
    </row>
    <row r="84">
      <c r="A84" s="1" t="str">
        <f t="shared" si="1"/>
        <v/>
      </c>
      <c r="G84" s="9" t="str">
        <f>IFERROR(__xludf.DUMMYFUNCTION("IF(B84="""","""",ROUND(XLOOKUP(B84, FLATTEN(B$1:E83), FLATTEN(O$1:R83), 500, 0, -1)))"),"")</f>
        <v/>
      </c>
      <c r="H84" s="9" t="str">
        <f>IFERROR(__xludf.DUMMYFUNCTION("IF(C84="""","""",ROUND(XLOOKUP(C84, FLATTEN(B$1:E83), FLATTEN(O$1:R83), 500, 0, -1)))"),"")</f>
        <v/>
      </c>
      <c r="I84" s="9" t="str">
        <f>IFERROR(__xludf.DUMMYFUNCTION("IF(D84="""","""",ROUND(XLOOKUP(D84, FLATTEN(B$1:E83), FLATTEN(O$1:R83), 500, 0, -1)))"),"")</f>
        <v/>
      </c>
      <c r="J84" s="9" t="str">
        <f>IFERROR(__xludf.DUMMYFUNCTION("IF(E84="""","""",ROUND(XLOOKUP(E84, FLATTEN(B$1:E83), FLATTEN(O$1:R83), 500, 0, -1)))"),"")</f>
        <v/>
      </c>
      <c r="K84" s="9" t="str">
        <f t="shared" si="2"/>
        <v/>
      </c>
      <c r="L84" s="9" t="str">
        <f t="shared" si="3"/>
        <v/>
      </c>
      <c r="M84" s="32" t="str">
        <f t="shared" si="4"/>
        <v/>
      </c>
      <c r="N84" s="9" t="str">
        <f t="shared" si="5"/>
        <v/>
      </c>
      <c r="O84" s="9" t="str">
        <f t="shared" si="6"/>
        <v/>
      </c>
      <c r="P84" s="9" t="str">
        <f t="shared" si="7"/>
        <v/>
      </c>
      <c r="Q84" s="9" t="str">
        <f t="shared" si="8"/>
        <v/>
      </c>
      <c r="R84" s="9" t="str">
        <f t="shared" si="9"/>
        <v/>
      </c>
    </row>
    <row r="85">
      <c r="A85" s="1" t="str">
        <f t="shared" si="1"/>
        <v/>
      </c>
      <c r="G85" s="9" t="str">
        <f>IFERROR(__xludf.DUMMYFUNCTION("IF(B85="""","""",ROUND(XLOOKUP(B85, FLATTEN(B$1:E84), FLATTEN(O$1:R84), 500, 0, -1)))"),"")</f>
        <v/>
      </c>
      <c r="H85" s="9" t="str">
        <f>IFERROR(__xludf.DUMMYFUNCTION("IF(C85="""","""",ROUND(XLOOKUP(C85, FLATTEN(B$1:E84), FLATTEN(O$1:R84), 500, 0, -1)))"),"")</f>
        <v/>
      </c>
      <c r="I85" s="9" t="str">
        <f>IFERROR(__xludf.DUMMYFUNCTION("IF(D85="""","""",ROUND(XLOOKUP(D85, FLATTEN(B$1:E84), FLATTEN(O$1:R84), 500, 0, -1)))"),"")</f>
        <v/>
      </c>
      <c r="J85" s="9" t="str">
        <f>IFERROR(__xludf.DUMMYFUNCTION("IF(E85="""","""",ROUND(XLOOKUP(E85, FLATTEN(B$1:E84), FLATTEN(O$1:R84), 500, 0, -1)))"),"")</f>
        <v/>
      </c>
      <c r="K85" s="9" t="str">
        <f t="shared" si="2"/>
        <v/>
      </c>
      <c r="L85" s="9" t="str">
        <f t="shared" si="3"/>
        <v/>
      </c>
      <c r="M85" s="32" t="str">
        <f t="shared" si="4"/>
        <v/>
      </c>
      <c r="N85" s="9" t="str">
        <f t="shared" si="5"/>
        <v/>
      </c>
      <c r="O85" s="9" t="str">
        <f t="shared" si="6"/>
        <v/>
      </c>
      <c r="P85" s="9" t="str">
        <f t="shared" si="7"/>
        <v/>
      </c>
      <c r="Q85" s="9" t="str">
        <f t="shared" si="8"/>
        <v/>
      </c>
      <c r="R85" s="9" t="str">
        <f t="shared" si="9"/>
        <v/>
      </c>
    </row>
    <row r="86">
      <c r="A86" s="1" t="str">
        <f t="shared" si="1"/>
        <v/>
      </c>
      <c r="G86" s="9" t="str">
        <f>IFERROR(__xludf.DUMMYFUNCTION("IF(B86="""","""",ROUND(XLOOKUP(B86, FLATTEN(B$1:E85), FLATTEN(O$1:R85), 500, 0, -1)))"),"")</f>
        <v/>
      </c>
      <c r="H86" s="9" t="str">
        <f>IFERROR(__xludf.DUMMYFUNCTION("IF(C86="""","""",ROUND(XLOOKUP(C86, FLATTEN(B$1:E85), FLATTEN(O$1:R85), 500, 0, -1)))"),"")</f>
        <v/>
      </c>
      <c r="I86" s="9" t="str">
        <f>IFERROR(__xludf.DUMMYFUNCTION("IF(D86="""","""",ROUND(XLOOKUP(D86, FLATTEN(B$1:E85), FLATTEN(O$1:R85), 500, 0, -1)))"),"")</f>
        <v/>
      </c>
      <c r="J86" s="9" t="str">
        <f>IFERROR(__xludf.DUMMYFUNCTION("IF(E86="""","""",ROUND(XLOOKUP(E86, FLATTEN(B$1:E85), FLATTEN(O$1:R85), 500, 0, -1)))"),"")</f>
        <v/>
      </c>
      <c r="K86" s="9" t="str">
        <f t="shared" si="2"/>
        <v/>
      </c>
      <c r="L86" s="9" t="str">
        <f t="shared" si="3"/>
        <v/>
      </c>
      <c r="M86" s="32" t="str">
        <f t="shared" si="4"/>
        <v/>
      </c>
      <c r="N86" s="9" t="str">
        <f t="shared" si="5"/>
        <v/>
      </c>
      <c r="O86" s="9" t="str">
        <f t="shared" si="6"/>
        <v/>
      </c>
      <c r="P86" s="9" t="str">
        <f t="shared" si="7"/>
        <v/>
      </c>
      <c r="Q86" s="9" t="str">
        <f t="shared" si="8"/>
        <v/>
      </c>
      <c r="R86" s="9" t="str">
        <f t="shared" si="9"/>
        <v/>
      </c>
    </row>
    <row r="87">
      <c r="A87" s="1" t="str">
        <f t="shared" si="1"/>
        <v/>
      </c>
      <c r="G87" s="9" t="str">
        <f>IFERROR(__xludf.DUMMYFUNCTION("IF(B87="""","""",ROUND(XLOOKUP(B87, FLATTEN(B$1:E86), FLATTEN(O$1:R86), 500, 0, -1)))"),"")</f>
        <v/>
      </c>
      <c r="H87" s="9" t="str">
        <f>IFERROR(__xludf.DUMMYFUNCTION("IF(C87="""","""",ROUND(XLOOKUP(C87, FLATTEN(B$1:E86), FLATTEN(O$1:R86), 500, 0, -1)))"),"")</f>
        <v/>
      </c>
      <c r="I87" s="9" t="str">
        <f>IFERROR(__xludf.DUMMYFUNCTION("IF(D87="""","""",ROUND(XLOOKUP(D87, FLATTEN(B$1:E86), FLATTEN(O$1:R86), 500, 0, -1)))"),"")</f>
        <v/>
      </c>
      <c r="J87" s="9" t="str">
        <f>IFERROR(__xludf.DUMMYFUNCTION("IF(E87="""","""",ROUND(XLOOKUP(E87, FLATTEN(B$1:E86), FLATTEN(O$1:R86), 500, 0, -1)))"),"")</f>
        <v/>
      </c>
      <c r="K87" s="9" t="str">
        <f t="shared" si="2"/>
        <v/>
      </c>
      <c r="L87" s="9" t="str">
        <f t="shared" si="3"/>
        <v/>
      </c>
      <c r="M87" s="32" t="str">
        <f t="shared" si="4"/>
        <v/>
      </c>
      <c r="N87" s="9" t="str">
        <f t="shared" si="5"/>
        <v/>
      </c>
      <c r="O87" s="9" t="str">
        <f t="shared" si="6"/>
        <v/>
      </c>
      <c r="P87" s="9" t="str">
        <f t="shared" si="7"/>
        <v/>
      </c>
      <c r="Q87" s="9" t="str">
        <f t="shared" si="8"/>
        <v/>
      </c>
      <c r="R87" s="9" t="str">
        <f t="shared" si="9"/>
        <v/>
      </c>
    </row>
    <row r="88">
      <c r="A88" s="1" t="str">
        <f t="shared" si="1"/>
        <v/>
      </c>
      <c r="G88" s="9" t="str">
        <f>IFERROR(__xludf.DUMMYFUNCTION("IF(B88="""","""",ROUND(XLOOKUP(B88, FLATTEN(B$1:E87), FLATTEN(O$1:R87), 500, 0, -1)))"),"")</f>
        <v/>
      </c>
      <c r="H88" s="9" t="str">
        <f>IFERROR(__xludf.DUMMYFUNCTION("IF(C88="""","""",ROUND(XLOOKUP(C88, FLATTEN(B$1:E87), FLATTEN(O$1:R87), 500, 0, -1)))"),"")</f>
        <v/>
      </c>
      <c r="I88" s="9" t="str">
        <f>IFERROR(__xludf.DUMMYFUNCTION("IF(D88="""","""",ROUND(XLOOKUP(D88, FLATTEN(B$1:E87), FLATTEN(O$1:R87), 500, 0, -1)))"),"")</f>
        <v/>
      </c>
      <c r="J88" s="9" t="str">
        <f>IFERROR(__xludf.DUMMYFUNCTION("IF(E88="""","""",ROUND(XLOOKUP(E88, FLATTEN(B$1:E87), FLATTEN(O$1:R87), 500, 0, -1)))"),"")</f>
        <v/>
      </c>
      <c r="K88" s="9" t="str">
        <f t="shared" si="2"/>
        <v/>
      </c>
      <c r="L88" s="9" t="str">
        <f t="shared" si="3"/>
        <v/>
      </c>
      <c r="M88" s="32" t="str">
        <f t="shared" si="4"/>
        <v/>
      </c>
      <c r="N88" s="9" t="str">
        <f t="shared" si="5"/>
        <v/>
      </c>
      <c r="O88" s="9" t="str">
        <f t="shared" si="6"/>
        <v/>
      </c>
      <c r="P88" s="9" t="str">
        <f t="shared" si="7"/>
        <v/>
      </c>
      <c r="Q88" s="9" t="str">
        <f t="shared" si="8"/>
        <v/>
      </c>
      <c r="R88" s="9" t="str">
        <f t="shared" si="9"/>
        <v/>
      </c>
    </row>
    <row r="89">
      <c r="A89" s="1" t="str">
        <f t="shared" si="1"/>
        <v/>
      </c>
      <c r="G89" s="9" t="str">
        <f>IFERROR(__xludf.DUMMYFUNCTION("IF(B89="""","""",ROUND(XLOOKUP(B89, FLATTEN(B$1:E88), FLATTEN(O$1:R88), 500, 0, -1)))"),"")</f>
        <v/>
      </c>
      <c r="H89" s="9" t="str">
        <f>IFERROR(__xludf.DUMMYFUNCTION("IF(C89="""","""",ROUND(XLOOKUP(C89, FLATTEN(B$1:E88), FLATTEN(O$1:R88), 500, 0, -1)))"),"")</f>
        <v/>
      </c>
      <c r="I89" s="9" t="str">
        <f>IFERROR(__xludf.DUMMYFUNCTION("IF(D89="""","""",ROUND(XLOOKUP(D89, FLATTEN(B$1:E88), FLATTEN(O$1:R88), 500, 0, -1)))"),"")</f>
        <v/>
      </c>
      <c r="J89" s="9" t="str">
        <f>IFERROR(__xludf.DUMMYFUNCTION("IF(E89="""","""",ROUND(XLOOKUP(E89, FLATTEN(B$1:E88), FLATTEN(O$1:R88), 500, 0, -1)))"),"")</f>
        <v/>
      </c>
      <c r="K89" s="9" t="str">
        <f t="shared" si="2"/>
        <v/>
      </c>
      <c r="L89" s="9" t="str">
        <f t="shared" si="3"/>
        <v/>
      </c>
      <c r="M89" s="32" t="str">
        <f t="shared" si="4"/>
        <v/>
      </c>
      <c r="N89" s="9" t="str">
        <f t="shared" si="5"/>
        <v/>
      </c>
      <c r="O89" s="9" t="str">
        <f t="shared" si="6"/>
        <v/>
      </c>
      <c r="P89" s="9" t="str">
        <f t="shared" si="7"/>
        <v/>
      </c>
      <c r="Q89" s="9" t="str">
        <f t="shared" si="8"/>
        <v/>
      </c>
      <c r="R89" s="9" t="str">
        <f t="shared" si="9"/>
        <v/>
      </c>
    </row>
    <row r="90">
      <c r="A90" s="1" t="str">
        <f t="shared" si="1"/>
        <v/>
      </c>
      <c r="G90" s="9" t="str">
        <f>IFERROR(__xludf.DUMMYFUNCTION("IF(B90="""","""",ROUND(XLOOKUP(B90, FLATTEN(B$1:E89), FLATTEN(O$1:R89), 500, 0, -1)))"),"")</f>
        <v/>
      </c>
      <c r="H90" s="9" t="str">
        <f>IFERROR(__xludf.DUMMYFUNCTION("IF(C90="""","""",ROUND(XLOOKUP(C90, FLATTEN(B$1:E89), FLATTEN(O$1:R89), 500, 0, -1)))"),"")</f>
        <v/>
      </c>
      <c r="I90" s="9" t="str">
        <f>IFERROR(__xludf.DUMMYFUNCTION("IF(D90="""","""",ROUND(XLOOKUP(D90, FLATTEN(B$1:E89), FLATTEN(O$1:R89), 500, 0, -1)))"),"")</f>
        <v/>
      </c>
      <c r="J90" s="9" t="str">
        <f>IFERROR(__xludf.DUMMYFUNCTION("IF(E90="""","""",ROUND(XLOOKUP(E90, FLATTEN(B$1:E89), FLATTEN(O$1:R89), 500, 0, -1)))"),"")</f>
        <v/>
      </c>
      <c r="K90" s="9" t="str">
        <f t="shared" si="2"/>
        <v/>
      </c>
      <c r="L90" s="9" t="str">
        <f t="shared" si="3"/>
        <v/>
      </c>
      <c r="M90" s="32" t="str">
        <f t="shared" si="4"/>
        <v/>
      </c>
      <c r="N90" s="9" t="str">
        <f t="shared" si="5"/>
        <v/>
      </c>
      <c r="O90" s="9" t="str">
        <f t="shared" si="6"/>
        <v/>
      </c>
      <c r="P90" s="9" t="str">
        <f t="shared" si="7"/>
        <v/>
      </c>
      <c r="Q90" s="9" t="str">
        <f t="shared" si="8"/>
        <v/>
      </c>
      <c r="R90" s="9" t="str">
        <f t="shared" si="9"/>
        <v/>
      </c>
    </row>
    <row r="91">
      <c r="A91" s="1" t="str">
        <f t="shared" si="1"/>
        <v/>
      </c>
      <c r="G91" s="9" t="str">
        <f>IFERROR(__xludf.DUMMYFUNCTION("IF(B91="""","""",ROUND(XLOOKUP(B91, FLATTEN(B$1:E90), FLATTEN(O$1:R90), 500, 0, -1)))"),"")</f>
        <v/>
      </c>
      <c r="H91" s="9" t="str">
        <f>IFERROR(__xludf.DUMMYFUNCTION("IF(C91="""","""",ROUND(XLOOKUP(C91, FLATTEN(B$1:E90), FLATTEN(O$1:R90), 500, 0, -1)))"),"")</f>
        <v/>
      </c>
      <c r="I91" s="9" t="str">
        <f>IFERROR(__xludf.DUMMYFUNCTION("IF(D91="""","""",ROUND(XLOOKUP(D91, FLATTEN(B$1:E90), FLATTEN(O$1:R90), 500, 0, -1)))"),"")</f>
        <v/>
      </c>
      <c r="J91" s="9" t="str">
        <f>IFERROR(__xludf.DUMMYFUNCTION("IF(E91="""","""",ROUND(XLOOKUP(E91, FLATTEN(B$1:E90), FLATTEN(O$1:R90), 500, 0, -1)))"),"")</f>
        <v/>
      </c>
      <c r="K91" s="9" t="str">
        <f t="shared" si="2"/>
        <v/>
      </c>
      <c r="L91" s="9" t="str">
        <f t="shared" si="3"/>
        <v/>
      </c>
      <c r="M91" s="32" t="str">
        <f t="shared" si="4"/>
        <v/>
      </c>
      <c r="N91" s="9" t="str">
        <f t="shared" si="5"/>
        <v/>
      </c>
      <c r="O91" s="9" t="str">
        <f t="shared" si="6"/>
        <v/>
      </c>
      <c r="P91" s="9" t="str">
        <f t="shared" si="7"/>
        <v/>
      </c>
      <c r="Q91" s="9" t="str">
        <f t="shared" si="8"/>
        <v/>
      </c>
      <c r="R91" s="9" t="str">
        <f t="shared" si="9"/>
        <v/>
      </c>
    </row>
    <row r="92">
      <c r="A92" s="1" t="str">
        <f t="shared" si="1"/>
        <v/>
      </c>
      <c r="G92" s="9" t="str">
        <f>IFERROR(__xludf.DUMMYFUNCTION("IF(B92="""","""",ROUND(XLOOKUP(B92, FLATTEN(B$1:E91), FLATTEN(O$1:R91), 500, 0, -1)))"),"")</f>
        <v/>
      </c>
      <c r="H92" s="9" t="str">
        <f>IFERROR(__xludf.DUMMYFUNCTION("IF(C92="""","""",ROUND(XLOOKUP(C92, FLATTEN(B$1:E91), FLATTEN(O$1:R91), 500, 0, -1)))"),"")</f>
        <v/>
      </c>
      <c r="I92" s="9" t="str">
        <f>IFERROR(__xludf.DUMMYFUNCTION("IF(D92="""","""",ROUND(XLOOKUP(D92, FLATTEN(B$1:E91), FLATTEN(O$1:R91), 500, 0, -1)))"),"")</f>
        <v/>
      </c>
      <c r="J92" s="9" t="str">
        <f>IFERROR(__xludf.DUMMYFUNCTION("IF(E92="""","""",ROUND(XLOOKUP(E92, FLATTEN(B$1:E91), FLATTEN(O$1:R91), 500, 0, -1)))"),"")</f>
        <v/>
      </c>
      <c r="K92" s="9" t="str">
        <f t="shared" si="2"/>
        <v/>
      </c>
      <c r="L92" s="9" t="str">
        <f t="shared" si="3"/>
        <v/>
      </c>
      <c r="M92" s="32" t="str">
        <f t="shared" si="4"/>
        <v/>
      </c>
      <c r="N92" s="9" t="str">
        <f t="shared" si="5"/>
        <v/>
      </c>
      <c r="O92" s="9" t="str">
        <f t="shared" si="6"/>
        <v/>
      </c>
      <c r="P92" s="9" t="str">
        <f t="shared" si="7"/>
        <v/>
      </c>
      <c r="Q92" s="9" t="str">
        <f t="shared" si="8"/>
        <v/>
      </c>
      <c r="R92" s="9" t="str">
        <f t="shared" si="9"/>
        <v/>
      </c>
    </row>
    <row r="93">
      <c r="A93" s="1" t="str">
        <f t="shared" si="1"/>
        <v/>
      </c>
      <c r="G93" s="9" t="str">
        <f>IFERROR(__xludf.DUMMYFUNCTION("IF(B93="""","""",ROUND(XLOOKUP(B93, FLATTEN(B$1:E92), FLATTEN(O$1:R92), 500, 0, -1)))"),"")</f>
        <v/>
      </c>
      <c r="H93" s="9" t="str">
        <f>IFERROR(__xludf.DUMMYFUNCTION("IF(C93="""","""",ROUND(XLOOKUP(C93, FLATTEN(B$1:E92), FLATTEN(O$1:R92), 500, 0, -1)))"),"")</f>
        <v/>
      </c>
      <c r="I93" s="9" t="str">
        <f>IFERROR(__xludf.DUMMYFUNCTION("IF(D93="""","""",ROUND(XLOOKUP(D93, FLATTEN(B$1:E92), FLATTEN(O$1:R92), 500, 0, -1)))"),"")</f>
        <v/>
      </c>
      <c r="J93" s="9" t="str">
        <f>IFERROR(__xludf.DUMMYFUNCTION("IF(E93="""","""",ROUND(XLOOKUP(E93, FLATTEN(B$1:E92), FLATTEN(O$1:R92), 500, 0, -1)))"),"")</f>
        <v/>
      </c>
      <c r="K93" s="9" t="str">
        <f t="shared" si="2"/>
        <v/>
      </c>
      <c r="L93" s="9" t="str">
        <f t="shared" si="3"/>
        <v/>
      </c>
      <c r="M93" s="32" t="str">
        <f t="shared" si="4"/>
        <v/>
      </c>
      <c r="N93" s="9" t="str">
        <f t="shared" si="5"/>
        <v/>
      </c>
      <c r="O93" s="9" t="str">
        <f t="shared" si="6"/>
        <v/>
      </c>
      <c r="P93" s="9" t="str">
        <f t="shared" si="7"/>
        <v/>
      </c>
      <c r="Q93" s="9" t="str">
        <f t="shared" si="8"/>
        <v/>
      </c>
      <c r="R93" s="9" t="str">
        <f t="shared" si="9"/>
        <v/>
      </c>
    </row>
    <row r="94">
      <c r="A94" s="1" t="str">
        <f t="shared" si="1"/>
        <v/>
      </c>
      <c r="G94" s="9" t="str">
        <f>IFERROR(__xludf.DUMMYFUNCTION("IF(B94="""","""",ROUND(XLOOKUP(B94, FLATTEN(B$1:E93), FLATTEN(O$1:R93), 500, 0, -1)))"),"")</f>
        <v/>
      </c>
      <c r="H94" s="9" t="str">
        <f>IFERROR(__xludf.DUMMYFUNCTION("IF(C94="""","""",ROUND(XLOOKUP(C94, FLATTEN(B$1:E93), FLATTEN(O$1:R93), 500, 0, -1)))"),"")</f>
        <v/>
      </c>
      <c r="I94" s="9" t="str">
        <f>IFERROR(__xludf.DUMMYFUNCTION("IF(D94="""","""",ROUND(XLOOKUP(D94, FLATTEN(B$1:E93), FLATTEN(O$1:R93), 500, 0, -1)))"),"")</f>
        <v/>
      </c>
      <c r="J94" s="9" t="str">
        <f>IFERROR(__xludf.DUMMYFUNCTION("IF(E94="""","""",ROUND(XLOOKUP(E94, FLATTEN(B$1:E93), FLATTEN(O$1:R93), 500, 0, -1)))"),"")</f>
        <v/>
      </c>
      <c r="K94" s="9" t="str">
        <f t="shared" si="2"/>
        <v/>
      </c>
      <c r="L94" s="9" t="str">
        <f t="shared" si="3"/>
        <v/>
      </c>
      <c r="M94" s="32" t="str">
        <f t="shared" si="4"/>
        <v/>
      </c>
      <c r="N94" s="9" t="str">
        <f t="shared" si="5"/>
        <v/>
      </c>
      <c r="O94" s="9" t="str">
        <f t="shared" si="6"/>
        <v/>
      </c>
      <c r="P94" s="9" t="str">
        <f t="shared" si="7"/>
        <v/>
      </c>
      <c r="Q94" s="9" t="str">
        <f t="shared" si="8"/>
        <v/>
      </c>
      <c r="R94" s="9" t="str">
        <f t="shared" si="9"/>
        <v/>
      </c>
    </row>
    <row r="95">
      <c r="A95" s="1" t="str">
        <f t="shared" si="1"/>
        <v/>
      </c>
      <c r="G95" s="9" t="str">
        <f>IFERROR(__xludf.DUMMYFUNCTION("IF(B95="""","""",ROUND(XLOOKUP(B95, FLATTEN(B$1:E94), FLATTEN(O$1:R94), 500, 0, -1)))"),"")</f>
        <v/>
      </c>
      <c r="H95" s="9" t="str">
        <f>IFERROR(__xludf.DUMMYFUNCTION("IF(C95="""","""",ROUND(XLOOKUP(C95, FLATTEN(B$1:E94), FLATTEN(O$1:R94), 500, 0, -1)))"),"")</f>
        <v/>
      </c>
      <c r="I95" s="9" t="str">
        <f>IFERROR(__xludf.DUMMYFUNCTION("IF(D95="""","""",ROUND(XLOOKUP(D95, FLATTEN(B$1:E94), FLATTEN(O$1:R94), 500, 0, -1)))"),"")</f>
        <v/>
      </c>
      <c r="J95" s="9" t="str">
        <f>IFERROR(__xludf.DUMMYFUNCTION("IF(E95="""","""",ROUND(XLOOKUP(E95, FLATTEN(B$1:E94), FLATTEN(O$1:R94), 500, 0, -1)))"),"")</f>
        <v/>
      </c>
      <c r="K95" s="9" t="str">
        <f t="shared" si="2"/>
        <v/>
      </c>
      <c r="L95" s="9" t="str">
        <f t="shared" si="3"/>
        <v/>
      </c>
      <c r="M95" s="32" t="str">
        <f t="shared" si="4"/>
        <v/>
      </c>
      <c r="N95" s="9" t="str">
        <f t="shared" si="5"/>
        <v/>
      </c>
      <c r="O95" s="9" t="str">
        <f t="shared" si="6"/>
        <v/>
      </c>
      <c r="P95" s="9" t="str">
        <f t="shared" si="7"/>
        <v/>
      </c>
      <c r="Q95" s="9" t="str">
        <f t="shared" si="8"/>
        <v/>
      </c>
      <c r="R95" s="9" t="str">
        <f t="shared" si="9"/>
        <v/>
      </c>
    </row>
    <row r="96">
      <c r="A96" s="1" t="str">
        <f t="shared" si="1"/>
        <v/>
      </c>
      <c r="G96" s="9" t="str">
        <f>IFERROR(__xludf.DUMMYFUNCTION("IF(B96="""","""",ROUND(XLOOKUP(B96, FLATTEN(B$1:E95), FLATTEN(O$1:R95), 500, 0, -1)))"),"")</f>
        <v/>
      </c>
      <c r="H96" s="9" t="str">
        <f>IFERROR(__xludf.DUMMYFUNCTION("IF(C96="""","""",ROUND(XLOOKUP(C96, FLATTEN(B$1:E95), FLATTEN(O$1:R95), 500, 0, -1)))"),"")</f>
        <v/>
      </c>
      <c r="I96" s="9" t="str">
        <f>IFERROR(__xludf.DUMMYFUNCTION("IF(D96="""","""",ROUND(XLOOKUP(D96, FLATTEN(B$1:E95), FLATTEN(O$1:R95), 500, 0, -1)))"),"")</f>
        <v/>
      </c>
      <c r="J96" s="9" t="str">
        <f>IFERROR(__xludf.DUMMYFUNCTION("IF(E96="""","""",ROUND(XLOOKUP(E96, FLATTEN(B$1:E95), FLATTEN(O$1:R95), 500, 0, -1)))"),"")</f>
        <v/>
      </c>
      <c r="K96" s="9" t="str">
        <f t="shared" si="2"/>
        <v/>
      </c>
      <c r="L96" s="9" t="str">
        <f t="shared" si="3"/>
        <v/>
      </c>
      <c r="M96" s="32" t="str">
        <f t="shared" si="4"/>
        <v/>
      </c>
      <c r="N96" s="9" t="str">
        <f t="shared" si="5"/>
        <v/>
      </c>
      <c r="O96" s="9" t="str">
        <f t="shared" si="6"/>
        <v/>
      </c>
      <c r="P96" s="9" t="str">
        <f t="shared" si="7"/>
        <v/>
      </c>
      <c r="Q96" s="9" t="str">
        <f t="shared" si="8"/>
        <v/>
      </c>
      <c r="R96" s="9" t="str">
        <f t="shared" si="9"/>
        <v/>
      </c>
    </row>
    <row r="97">
      <c r="A97" s="1" t="str">
        <f t="shared" si="1"/>
        <v/>
      </c>
      <c r="G97" s="9" t="str">
        <f>IFERROR(__xludf.DUMMYFUNCTION("IF(B97="""","""",ROUND(XLOOKUP(B97, FLATTEN(B$1:E96), FLATTEN(O$1:R96), 500, 0, -1)))"),"")</f>
        <v/>
      </c>
      <c r="H97" s="9" t="str">
        <f>IFERROR(__xludf.DUMMYFUNCTION("IF(C97="""","""",ROUND(XLOOKUP(C97, FLATTEN(B$1:E96), FLATTEN(O$1:R96), 500, 0, -1)))"),"")</f>
        <v/>
      </c>
      <c r="I97" s="9" t="str">
        <f>IFERROR(__xludf.DUMMYFUNCTION("IF(D97="""","""",ROUND(XLOOKUP(D97, FLATTEN(B$1:E96), FLATTEN(O$1:R96), 500, 0, -1)))"),"")</f>
        <v/>
      </c>
      <c r="J97" s="9" t="str">
        <f>IFERROR(__xludf.DUMMYFUNCTION("IF(E97="""","""",ROUND(XLOOKUP(E97, FLATTEN(B$1:E96), FLATTEN(O$1:R96), 500, 0, -1)))"),"")</f>
        <v/>
      </c>
      <c r="K97" s="9" t="str">
        <f t="shared" si="2"/>
        <v/>
      </c>
      <c r="L97" s="9" t="str">
        <f t="shared" si="3"/>
        <v/>
      </c>
      <c r="M97" s="32" t="str">
        <f t="shared" si="4"/>
        <v/>
      </c>
      <c r="N97" s="9" t="str">
        <f t="shared" si="5"/>
        <v/>
      </c>
      <c r="O97" s="9" t="str">
        <f t="shared" si="6"/>
        <v/>
      </c>
      <c r="P97" s="9" t="str">
        <f t="shared" si="7"/>
        <v/>
      </c>
      <c r="Q97" s="9" t="str">
        <f t="shared" si="8"/>
        <v/>
      </c>
      <c r="R97" s="9" t="str">
        <f t="shared" si="9"/>
        <v/>
      </c>
    </row>
    <row r="98">
      <c r="A98" s="1" t="str">
        <f t="shared" si="1"/>
        <v/>
      </c>
      <c r="G98" s="9" t="str">
        <f>IFERROR(__xludf.DUMMYFUNCTION("IF(B98="""","""",ROUND(XLOOKUP(B98, FLATTEN(B$1:E97), FLATTEN(O$1:R97), 500, 0, -1)))"),"")</f>
        <v/>
      </c>
      <c r="H98" s="9" t="str">
        <f>IFERROR(__xludf.DUMMYFUNCTION("IF(C98="""","""",ROUND(XLOOKUP(C98, FLATTEN(B$1:E97), FLATTEN(O$1:R97), 500, 0, -1)))"),"")</f>
        <v/>
      </c>
      <c r="I98" s="9" t="str">
        <f>IFERROR(__xludf.DUMMYFUNCTION("IF(D98="""","""",ROUND(XLOOKUP(D98, FLATTEN(B$1:E97), FLATTEN(O$1:R97), 500, 0, -1)))"),"")</f>
        <v/>
      </c>
      <c r="J98" s="9" t="str">
        <f>IFERROR(__xludf.DUMMYFUNCTION("IF(E98="""","""",ROUND(XLOOKUP(E98, FLATTEN(B$1:E97), FLATTEN(O$1:R97), 500, 0, -1)))"),"")</f>
        <v/>
      </c>
      <c r="K98" s="9" t="str">
        <f t="shared" si="2"/>
        <v/>
      </c>
      <c r="L98" s="9" t="str">
        <f t="shared" si="3"/>
        <v/>
      </c>
      <c r="M98" s="32" t="str">
        <f t="shared" si="4"/>
        <v/>
      </c>
      <c r="N98" s="9" t="str">
        <f t="shared" si="5"/>
        <v/>
      </c>
      <c r="O98" s="9" t="str">
        <f t="shared" si="6"/>
        <v/>
      </c>
      <c r="P98" s="9" t="str">
        <f t="shared" si="7"/>
        <v/>
      </c>
      <c r="Q98" s="9" t="str">
        <f t="shared" si="8"/>
        <v/>
      </c>
      <c r="R98" s="9" t="str">
        <f t="shared" si="9"/>
        <v/>
      </c>
    </row>
    <row r="99">
      <c r="A99" s="1" t="str">
        <f t="shared" si="1"/>
        <v/>
      </c>
      <c r="G99" s="9" t="str">
        <f>IFERROR(__xludf.DUMMYFUNCTION("IF(B99="""","""",ROUND(XLOOKUP(B99, FLATTEN(B$1:E98), FLATTEN(O$1:R98), 500, 0, -1)))"),"")</f>
        <v/>
      </c>
      <c r="H99" s="9" t="str">
        <f>IFERROR(__xludf.DUMMYFUNCTION("IF(C99="""","""",ROUND(XLOOKUP(C99, FLATTEN(B$1:E98), FLATTEN(O$1:R98), 500, 0, -1)))"),"")</f>
        <v/>
      </c>
      <c r="I99" s="9" t="str">
        <f>IFERROR(__xludf.DUMMYFUNCTION("IF(D99="""","""",ROUND(XLOOKUP(D99, FLATTEN(B$1:E98), FLATTEN(O$1:R98), 500, 0, -1)))"),"")</f>
        <v/>
      </c>
      <c r="J99" s="9" t="str">
        <f>IFERROR(__xludf.DUMMYFUNCTION("IF(E99="""","""",ROUND(XLOOKUP(E99, FLATTEN(B$1:E98), FLATTEN(O$1:R98), 500, 0, -1)))"),"")</f>
        <v/>
      </c>
      <c r="K99" s="9" t="str">
        <f t="shared" si="2"/>
        <v/>
      </c>
      <c r="L99" s="9" t="str">
        <f t="shared" si="3"/>
        <v/>
      </c>
      <c r="M99" s="32" t="str">
        <f t="shared" si="4"/>
        <v/>
      </c>
      <c r="N99" s="9" t="str">
        <f t="shared" si="5"/>
        <v/>
      </c>
      <c r="O99" s="9" t="str">
        <f t="shared" si="6"/>
        <v/>
      </c>
      <c r="P99" s="9" t="str">
        <f t="shared" si="7"/>
        <v/>
      </c>
      <c r="Q99" s="9" t="str">
        <f t="shared" si="8"/>
        <v/>
      </c>
      <c r="R99" s="9" t="str">
        <f t="shared" si="9"/>
        <v/>
      </c>
    </row>
    <row r="100">
      <c r="A100" s="1" t="str">
        <f t="shared" si="1"/>
        <v/>
      </c>
      <c r="G100" s="9" t="str">
        <f>IFERROR(__xludf.DUMMYFUNCTION("IF(B100="""","""",ROUND(XLOOKUP(B100, FLATTEN(B$1:E99), FLATTEN(O$1:R99), 500, 0, -1)))"),"")</f>
        <v/>
      </c>
      <c r="H100" s="9" t="str">
        <f>IFERROR(__xludf.DUMMYFUNCTION("IF(C100="""","""",ROUND(XLOOKUP(C100, FLATTEN(B$1:E99), FLATTEN(O$1:R99), 500, 0, -1)))"),"")</f>
        <v/>
      </c>
      <c r="I100" s="9" t="str">
        <f>IFERROR(__xludf.DUMMYFUNCTION("IF(D100="""","""",ROUND(XLOOKUP(D100, FLATTEN(B$1:E99), FLATTEN(O$1:R99), 500, 0, -1)))"),"")</f>
        <v/>
      </c>
      <c r="J100" s="9" t="str">
        <f>IFERROR(__xludf.DUMMYFUNCTION("IF(E100="""","""",ROUND(XLOOKUP(E100, FLATTEN(B$1:E99), FLATTEN(O$1:R99), 500, 0, -1)))"),"")</f>
        <v/>
      </c>
      <c r="K100" s="9" t="str">
        <f t="shared" si="2"/>
        <v/>
      </c>
      <c r="L100" s="9" t="str">
        <f t="shared" si="3"/>
        <v/>
      </c>
      <c r="M100" s="32" t="str">
        <f t="shared" si="4"/>
        <v/>
      </c>
      <c r="N100" s="9" t="str">
        <f t="shared" si="5"/>
        <v/>
      </c>
      <c r="O100" s="9" t="str">
        <f t="shared" si="6"/>
        <v/>
      </c>
      <c r="P100" s="9" t="str">
        <f t="shared" si="7"/>
        <v/>
      </c>
      <c r="Q100" s="9" t="str">
        <f t="shared" si="8"/>
        <v/>
      </c>
      <c r="R100" s="9" t="str">
        <f t="shared" si="9"/>
        <v/>
      </c>
    </row>
    <row r="101">
      <c r="A101" s="1" t="str">
        <f t="shared" si="1"/>
        <v/>
      </c>
      <c r="G101" s="9" t="str">
        <f>IFERROR(__xludf.DUMMYFUNCTION("IF(B101="""","""",ROUND(XLOOKUP(B101, FLATTEN(B$1:E100), FLATTEN(O$1:R100), 500, 0, -1)))"),"")</f>
        <v/>
      </c>
      <c r="H101" s="9" t="str">
        <f>IFERROR(__xludf.DUMMYFUNCTION("IF(C101="""","""",ROUND(XLOOKUP(C101, FLATTEN(B$1:E100), FLATTEN(O$1:R100), 500, 0, -1)))"),"")</f>
        <v/>
      </c>
      <c r="I101" s="9" t="str">
        <f>IFERROR(__xludf.DUMMYFUNCTION("IF(D101="""","""",ROUND(XLOOKUP(D101, FLATTEN(B$1:E100), FLATTEN(O$1:R100), 500, 0, -1)))"),"")</f>
        <v/>
      </c>
      <c r="J101" s="9" t="str">
        <f>IFERROR(__xludf.DUMMYFUNCTION("IF(E101="""","""",ROUND(XLOOKUP(E101, FLATTEN(B$1:E100), FLATTEN(O$1:R100), 500, 0, -1)))"),"")</f>
        <v/>
      </c>
      <c r="K101" s="9" t="str">
        <f t="shared" si="2"/>
        <v/>
      </c>
      <c r="L101" s="9" t="str">
        <f t="shared" si="3"/>
        <v/>
      </c>
      <c r="M101" s="32" t="str">
        <f t="shared" si="4"/>
        <v/>
      </c>
      <c r="N101" s="9" t="str">
        <f t="shared" si="5"/>
        <v/>
      </c>
      <c r="O101" s="9" t="str">
        <f t="shared" si="6"/>
        <v/>
      </c>
      <c r="P101" s="9" t="str">
        <f t="shared" si="7"/>
        <v/>
      </c>
      <c r="Q101" s="9" t="str">
        <f t="shared" si="8"/>
        <v/>
      </c>
      <c r="R101" s="9" t="str">
        <f t="shared" si="9"/>
        <v/>
      </c>
    </row>
    <row r="102">
      <c r="A102" s="1" t="str">
        <f t="shared" si="1"/>
        <v/>
      </c>
      <c r="G102" s="9" t="str">
        <f>IFERROR(__xludf.DUMMYFUNCTION("IF(B102="""","""",ROUND(XLOOKUP(B102, FLATTEN(B$1:E101), FLATTEN(O$1:R101), 500, 0, -1)))"),"")</f>
        <v/>
      </c>
      <c r="H102" s="9" t="str">
        <f>IFERROR(__xludf.DUMMYFUNCTION("IF(C102="""","""",ROUND(XLOOKUP(C102, FLATTEN(B$1:E101), FLATTEN(O$1:R101), 500, 0, -1)))"),"")</f>
        <v/>
      </c>
      <c r="I102" s="9" t="str">
        <f>IFERROR(__xludf.DUMMYFUNCTION("IF(D102="""","""",ROUND(XLOOKUP(D102, FLATTEN(B$1:E101), FLATTEN(O$1:R101), 500, 0, -1)))"),"")</f>
        <v/>
      </c>
      <c r="J102" s="9" t="str">
        <f>IFERROR(__xludf.DUMMYFUNCTION("IF(E102="""","""",ROUND(XLOOKUP(E102, FLATTEN(B$1:E101), FLATTEN(O$1:R101), 500, 0, -1)))"),"")</f>
        <v/>
      </c>
      <c r="K102" s="9" t="str">
        <f t="shared" si="2"/>
        <v/>
      </c>
      <c r="L102" s="9" t="str">
        <f t="shared" si="3"/>
        <v/>
      </c>
      <c r="M102" s="32" t="str">
        <f t="shared" si="4"/>
        <v/>
      </c>
      <c r="N102" s="9" t="str">
        <f t="shared" si="5"/>
        <v/>
      </c>
      <c r="O102" s="9" t="str">
        <f t="shared" si="6"/>
        <v/>
      </c>
      <c r="P102" s="9" t="str">
        <f t="shared" si="7"/>
        <v/>
      </c>
      <c r="Q102" s="9" t="str">
        <f t="shared" si="8"/>
        <v/>
      </c>
      <c r="R102" s="9" t="str">
        <f t="shared" si="9"/>
        <v/>
      </c>
    </row>
    <row r="103">
      <c r="A103" s="1" t="str">
        <f t="shared" si="1"/>
        <v/>
      </c>
      <c r="G103" s="9" t="str">
        <f>IFERROR(__xludf.DUMMYFUNCTION("IF(B103="""","""",ROUND(XLOOKUP(B103, FLATTEN(B$1:E102), FLATTEN(O$1:R102), 500, 0, -1)))"),"")</f>
        <v/>
      </c>
      <c r="H103" s="9" t="str">
        <f>IFERROR(__xludf.DUMMYFUNCTION("IF(C103="""","""",ROUND(XLOOKUP(C103, FLATTEN(B$1:E102), FLATTEN(O$1:R102), 500, 0, -1)))"),"")</f>
        <v/>
      </c>
      <c r="I103" s="9" t="str">
        <f>IFERROR(__xludf.DUMMYFUNCTION("IF(D103="""","""",ROUND(XLOOKUP(D103, FLATTEN(B$1:E102), FLATTEN(O$1:R102), 500, 0, -1)))"),"")</f>
        <v/>
      </c>
      <c r="J103" s="9" t="str">
        <f>IFERROR(__xludf.DUMMYFUNCTION("IF(E103="""","""",ROUND(XLOOKUP(E103, FLATTEN(B$1:E102), FLATTEN(O$1:R102), 500, 0, -1)))"),"")</f>
        <v/>
      </c>
      <c r="K103" s="9" t="str">
        <f t="shared" si="2"/>
        <v/>
      </c>
      <c r="L103" s="9" t="str">
        <f t="shared" si="3"/>
        <v/>
      </c>
      <c r="M103" s="32" t="str">
        <f t="shared" si="4"/>
        <v/>
      </c>
      <c r="N103" s="9" t="str">
        <f t="shared" si="5"/>
        <v/>
      </c>
      <c r="O103" s="9" t="str">
        <f t="shared" si="6"/>
        <v/>
      </c>
      <c r="P103" s="9" t="str">
        <f t="shared" si="7"/>
        <v/>
      </c>
      <c r="Q103" s="9" t="str">
        <f t="shared" si="8"/>
        <v/>
      </c>
      <c r="R103" s="9" t="str">
        <f t="shared" si="9"/>
        <v/>
      </c>
    </row>
    <row r="104">
      <c r="A104" s="1" t="str">
        <f t="shared" si="1"/>
        <v/>
      </c>
      <c r="G104" s="9" t="str">
        <f>IFERROR(__xludf.DUMMYFUNCTION("IF(B104="""","""",ROUND(XLOOKUP(B104, FLATTEN(B$1:E103), FLATTEN(O$1:R103), 500, 0, -1)))"),"")</f>
        <v/>
      </c>
      <c r="H104" s="9" t="str">
        <f>IFERROR(__xludf.DUMMYFUNCTION("IF(C104="""","""",ROUND(XLOOKUP(C104, FLATTEN(B$1:E103), FLATTEN(O$1:R103), 500, 0, -1)))"),"")</f>
        <v/>
      </c>
      <c r="I104" s="9" t="str">
        <f>IFERROR(__xludf.DUMMYFUNCTION("IF(D104="""","""",ROUND(XLOOKUP(D104, FLATTEN(B$1:E103), FLATTEN(O$1:R103), 500, 0, -1)))"),"")</f>
        <v/>
      </c>
      <c r="J104" s="9" t="str">
        <f>IFERROR(__xludf.DUMMYFUNCTION("IF(E104="""","""",ROUND(XLOOKUP(E104, FLATTEN(B$1:E103), FLATTEN(O$1:R103), 500, 0, -1)))"),"")</f>
        <v/>
      </c>
      <c r="K104" s="9" t="str">
        <f t="shared" si="2"/>
        <v/>
      </c>
      <c r="L104" s="9" t="str">
        <f t="shared" si="3"/>
        <v/>
      </c>
      <c r="M104" s="32" t="str">
        <f t="shared" si="4"/>
        <v/>
      </c>
      <c r="N104" s="9" t="str">
        <f t="shared" si="5"/>
        <v/>
      </c>
      <c r="O104" s="9" t="str">
        <f t="shared" si="6"/>
        <v/>
      </c>
      <c r="P104" s="9" t="str">
        <f t="shared" si="7"/>
        <v/>
      </c>
      <c r="Q104" s="9" t="str">
        <f t="shared" si="8"/>
        <v/>
      </c>
      <c r="R104" s="9" t="str">
        <f t="shared" si="9"/>
        <v/>
      </c>
    </row>
    <row r="105">
      <c r="A105" s="1" t="str">
        <f t="shared" si="1"/>
        <v/>
      </c>
      <c r="G105" s="9" t="str">
        <f>IFERROR(__xludf.DUMMYFUNCTION("IF(B105="""","""",ROUND(XLOOKUP(B105, FLATTEN(B$1:E104), FLATTEN(O$1:R104), 500, 0, -1)))"),"")</f>
        <v/>
      </c>
      <c r="H105" s="9" t="str">
        <f>IFERROR(__xludf.DUMMYFUNCTION("IF(C105="""","""",ROUND(XLOOKUP(C105, FLATTEN(B$1:E104), FLATTEN(O$1:R104), 500, 0, -1)))"),"")</f>
        <v/>
      </c>
      <c r="I105" s="9" t="str">
        <f>IFERROR(__xludf.DUMMYFUNCTION("IF(D105="""","""",ROUND(XLOOKUP(D105, FLATTEN(B$1:E104), FLATTEN(O$1:R104), 500, 0, -1)))"),"")</f>
        <v/>
      </c>
      <c r="J105" s="9" t="str">
        <f>IFERROR(__xludf.DUMMYFUNCTION("IF(E105="""","""",ROUND(XLOOKUP(E105, FLATTEN(B$1:E104), FLATTEN(O$1:R104), 500, 0, -1)))"),"")</f>
        <v/>
      </c>
      <c r="K105" s="9" t="str">
        <f t="shared" si="2"/>
        <v/>
      </c>
      <c r="L105" s="9" t="str">
        <f t="shared" si="3"/>
        <v/>
      </c>
      <c r="M105" s="32" t="str">
        <f t="shared" si="4"/>
        <v/>
      </c>
      <c r="N105" s="9" t="str">
        <f t="shared" si="5"/>
        <v/>
      </c>
      <c r="O105" s="9" t="str">
        <f t="shared" si="6"/>
        <v/>
      </c>
      <c r="P105" s="9" t="str">
        <f t="shared" si="7"/>
        <v/>
      </c>
      <c r="Q105" s="9" t="str">
        <f t="shared" si="8"/>
        <v/>
      </c>
      <c r="R105" s="9" t="str">
        <f t="shared" si="9"/>
        <v/>
      </c>
    </row>
    <row r="106">
      <c r="A106" s="1" t="str">
        <f t="shared" si="1"/>
        <v/>
      </c>
      <c r="G106" s="9" t="str">
        <f>IFERROR(__xludf.DUMMYFUNCTION("IF(B106="""","""",ROUND(XLOOKUP(B106, FLATTEN(B$1:E105), FLATTEN(O$1:R105), 500, 0, -1)))"),"")</f>
        <v/>
      </c>
      <c r="H106" s="9" t="str">
        <f>IFERROR(__xludf.DUMMYFUNCTION("IF(C106="""","""",ROUND(XLOOKUP(C106, FLATTEN(B$1:E105), FLATTEN(O$1:R105), 500, 0, -1)))"),"")</f>
        <v/>
      </c>
      <c r="I106" s="9" t="str">
        <f>IFERROR(__xludf.DUMMYFUNCTION("IF(D106="""","""",ROUND(XLOOKUP(D106, FLATTEN(B$1:E105), FLATTEN(O$1:R105), 500, 0, -1)))"),"")</f>
        <v/>
      </c>
      <c r="J106" s="9" t="str">
        <f>IFERROR(__xludf.DUMMYFUNCTION("IF(E106="""","""",ROUND(XLOOKUP(E106, FLATTEN(B$1:E105), FLATTEN(O$1:R105), 500, 0, -1)))"),"")</f>
        <v/>
      </c>
      <c r="K106" s="9" t="str">
        <f t="shared" si="2"/>
        <v/>
      </c>
      <c r="L106" s="9" t="str">
        <f t="shared" si="3"/>
        <v/>
      </c>
      <c r="M106" s="32" t="str">
        <f t="shared" si="4"/>
        <v/>
      </c>
      <c r="N106" s="9" t="str">
        <f t="shared" si="5"/>
        <v/>
      </c>
      <c r="O106" s="9" t="str">
        <f t="shared" si="6"/>
        <v/>
      </c>
      <c r="P106" s="9" t="str">
        <f t="shared" si="7"/>
        <v/>
      </c>
      <c r="Q106" s="9" t="str">
        <f t="shared" si="8"/>
        <v/>
      </c>
      <c r="R106" s="9" t="str">
        <f t="shared" si="9"/>
        <v/>
      </c>
    </row>
    <row r="107">
      <c r="A107" s="1" t="str">
        <f t="shared" si="1"/>
        <v/>
      </c>
      <c r="G107" s="9" t="str">
        <f>IFERROR(__xludf.DUMMYFUNCTION("IF(B107="""","""",ROUND(XLOOKUP(B107, FLATTEN(B$1:E106), FLATTEN(O$1:R106), 500, 0, -1)))"),"")</f>
        <v/>
      </c>
      <c r="H107" s="9" t="str">
        <f>IFERROR(__xludf.DUMMYFUNCTION("IF(C107="""","""",ROUND(XLOOKUP(C107, FLATTEN(B$1:E106), FLATTEN(O$1:R106), 500, 0, -1)))"),"")</f>
        <v/>
      </c>
      <c r="I107" s="9" t="str">
        <f>IFERROR(__xludf.DUMMYFUNCTION("IF(D107="""","""",ROUND(XLOOKUP(D107, FLATTEN(B$1:E106), FLATTEN(O$1:R106), 500, 0, -1)))"),"")</f>
        <v/>
      </c>
      <c r="J107" s="9" t="str">
        <f>IFERROR(__xludf.DUMMYFUNCTION("IF(E107="""","""",ROUND(XLOOKUP(E107, FLATTEN(B$1:E106), FLATTEN(O$1:R106), 500, 0, -1)))"),"")</f>
        <v/>
      </c>
      <c r="K107" s="9" t="str">
        <f t="shared" si="2"/>
        <v/>
      </c>
      <c r="L107" s="9" t="str">
        <f t="shared" si="3"/>
        <v/>
      </c>
      <c r="M107" s="32" t="str">
        <f t="shared" si="4"/>
        <v/>
      </c>
      <c r="N107" s="9" t="str">
        <f t="shared" si="5"/>
        <v/>
      </c>
      <c r="O107" s="9" t="str">
        <f t="shared" si="6"/>
        <v/>
      </c>
      <c r="P107" s="9" t="str">
        <f t="shared" si="7"/>
        <v/>
      </c>
      <c r="Q107" s="9" t="str">
        <f t="shared" si="8"/>
        <v/>
      </c>
      <c r="R107" s="9" t="str">
        <f t="shared" si="9"/>
        <v/>
      </c>
    </row>
    <row r="108">
      <c r="A108" s="1" t="str">
        <f t="shared" si="1"/>
        <v/>
      </c>
      <c r="G108" s="9" t="str">
        <f>IFERROR(__xludf.DUMMYFUNCTION("IF(B108="""","""",ROUND(XLOOKUP(B108, FLATTEN(B$1:E107), FLATTEN(O$1:R107), 500, 0, -1)))"),"")</f>
        <v/>
      </c>
      <c r="H108" s="9" t="str">
        <f>IFERROR(__xludf.DUMMYFUNCTION("IF(C108="""","""",ROUND(XLOOKUP(C108, FLATTEN(B$1:E107), FLATTEN(O$1:R107), 500, 0, -1)))"),"")</f>
        <v/>
      </c>
      <c r="I108" s="9" t="str">
        <f>IFERROR(__xludf.DUMMYFUNCTION("IF(D108="""","""",ROUND(XLOOKUP(D108, FLATTEN(B$1:E107), FLATTEN(O$1:R107), 500, 0, -1)))"),"")</f>
        <v/>
      </c>
      <c r="J108" s="9" t="str">
        <f>IFERROR(__xludf.DUMMYFUNCTION("IF(E108="""","""",ROUND(XLOOKUP(E108, FLATTEN(B$1:E107), FLATTEN(O$1:R107), 500, 0, -1)))"),"")</f>
        <v/>
      </c>
      <c r="K108" s="9" t="str">
        <f t="shared" si="2"/>
        <v/>
      </c>
      <c r="L108" s="9" t="str">
        <f t="shared" si="3"/>
        <v/>
      </c>
      <c r="M108" s="32" t="str">
        <f t="shared" si="4"/>
        <v/>
      </c>
      <c r="N108" s="9" t="str">
        <f t="shared" si="5"/>
        <v/>
      </c>
      <c r="O108" s="9" t="str">
        <f t="shared" si="6"/>
        <v/>
      </c>
      <c r="P108" s="9" t="str">
        <f t="shared" si="7"/>
        <v/>
      </c>
      <c r="Q108" s="9" t="str">
        <f t="shared" si="8"/>
        <v/>
      </c>
      <c r="R108" s="9" t="str">
        <f t="shared" si="9"/>
        <v/>
      </c>
    </row>
    <row r="109">
      <c r="A109" s="1" t="str">
        <f t="shared" si="1"/>
        <v/>
      </c>
      <c r="G109" s="9" t="str">
        <f>IFERROR(__xludf.DUMMYFUNCTION("IF(B109="""","""",ROUND(XLOOKUP(B109, FLATTEN(B$1:E108), FLATTEN(O$1:R108), 500, 0, -1)))"),"")</f>
        <v/>
      </c>
      <c r="H109" s="9" t="str">
        <f>IFERROR(__xludf.DUMMYFUNCTION("IF(C109="""","""",ROUND(XLOOKUP(C109, FLATTEN(B$1:E108), FLATTEN(O$1:R108), 500, 0, -1)))"),"")</f>
        <v/>
      </c>
      <c r="I109" s="9" t="str">
        <f>IFERROR(__xludf.DUMMYFUNCTION("IF(D109="""","""",ROUND(XLOOKUP(D109, FLATTEN(B$1:E108), FLATTEN(O$1:R108), 500, 0, -1)))"),"")</f>
        <v/>
      </c>
      <c r="J109" s="9" t="str">
        <f>IFERROR(__xludf.DUMMYFUNCTION("IF(E109="""","""",ROUND(XLOOKUP(E109, FLATTEN(B$1:E108), FLATTEN(O$1:R108), 500, 0, -1)))"),"")</f>
        <v/>
      </c>
      <c r="K109" s="9" t="str">
        <f t="shared" si="2"/>
        <v/>
      </c>
      <c r="L109" s="9" t="str">
        <f t="shared" si="3"/>
        <v/>
      </c>
      <c r="M109" s="32" t="str">
        <f t="shared" si="4"/>
        <v/>
      </c>
      <c r="N109" s="9" t="str">
        <f t="shared" si="5"/>
        <v/>
      </c>
      <c r="O109" s="9" t="str">
        <f t="shared" si="6"/>
        <v/>
      </c>
      <c r="P109" s="9" t="str">
        <f t="shared" si="7"/>
        <v/>
      </c>
      <c r="Q109" s="9" t="str">
        <f t="shared" si="8"/>
        <v/>
      </c>
      <c r="R109" s="9" t="str">
        <f t="shared" si="9"/>
        <v/>
      </c>
    </row>
    <row r="110">
      <c r="A110" s="1" t="str">
        <f t="shared" si="1"/>
        <v/>
      </c>
      <c r="G110" s="9" t="str">
        <f>IFERROR(__xludf.DUMMYFUNCTION("IF(B110="""","""",ROUND(XLOOKUP(B110, FLATTEN(B$1:E109), FLATTEN(O$1:R109), 500, 0, -1)))"),"")</f>
        <v/>
      </c>
      <c r="H110" s="9" t="str">
        <f>IFERROR(__xludf.DUMMYFUNCTION("IF(C110="""","""",ROUND(XLOOKUP(C110, FLATTEN(B$1:E109), FLATTEN(O$1:R109), 500, 0, -1)))"),"")</f>
        <v/>
      </c>
      <c r="I110" s="9" t="str">
        <f>IFERROR(__xludf.DUMMYFUNCTION("IF(D110="""","""",ROUND(XLOOKUP(D110, FLATTEN(B$1:E109), FLATTEN(O$1:R109), 500, 0, -1)))"),"")</f>
        <v/>
      </c>
      <c r="J110" s="9" t="str">
        <f>IFERROR(__xludf.DUMMYFUNCTION("IF(E110="""","""",ROUND(XLOOKUP(E110, FLATTEN(B$1:E109), FLATTEN(O$1:R109), 500, 0, -1)))"),"")</f>
        <v/>
      </c>
      <c r="K110" s="9" t="str">
        <f t="shared" si="2"/>
        <v/>
      </c>
      <c r="L110" s="9" t="str">
        <f t="shared" si="3"/>
        <v/>
      </c>
      <c r="M110" s="32" t="str">
        <f t="shared" si="4"/>
        <v/>
      </c>
      <c r="N110" s="9" t="str">
        <f t="shared" si="5"/>
        <v/>
      </c>
      <c r="O110" s="9" t="str">
        <f t="shared" si="6"/>
        <v/>
      </c>
      <c r="P110" s="9" t="str">
        <f t="shared" si="7"/>
        <v/>
      </c>
      <c r="Q110" s="9" t="str">
        <f t="shared" si="8"/>
        <v/>
      </c>
      <c r="R110" s="9" t="str">
        <f t="shared" si="9"/>
        <v/>
      </c>
    </row>
    <row r="111">
      <c r="A111" s="1" t="str">
        <f t="shared" si="1"/>
        <v/>
      </c>
      <c r="G111" s="9" t="str">
        <f>IFERROR(__xludf.DUMMYFUNCTION("IF(B111="""","""",ROUND(XLOOKUP(B111, FLATTEN(B$1:E110), FLATTEN(O$1:R110), 500, 0, -1)))"),"")</f>
        <v/>
      </c>
      <c r="H111" s="9" t="str">
        <f>IFERROR(__xludf.DUMMYFUNCTION("IF(C111="""","""",ROUND(XLOOKUP(C111, FLATTEN(B$1:E110), FLATTEN(O$1:R110), 500, 0, -1)))"),"")</f>
        <v/>
      </c>
      <c r="I111" s="9" t="str">
        <f>IFERROR(__xludf.DUMMYFUNCTION("IF(D111="""","""",ROUND(XLOOKUP(D111, FLATTEN(B$1:E110), FLATTEN(O$1:R110), 500, 0, -1)))"),"")</f>
        <v/>
      </c>
      <c r="J111" s="9" t="str">
        <f>IFERROR(__xludf.DUMMYFUNCTION("IF(E111="""","""",ROUND(XLOOKUP(E111, FLATTEN(B$1:E110), FLATTEN(O$1:R110), 500, 0, -1)))"),"")</f>
        <v/>
      </c>
      <c r="K111" s="9" t="str">
        <f t="shared" si="2"/>
        <v/>
      </c>
      <c r="L111" s="9" t="str">
        <f t="shared" si="3"/>
        <v/>
      </c>
      <c r="M111" s="32" t="str">
        <f t="shared" si="4"/>
        <v/>
      </c>
      <c r="N111" s="9" t="str">
        <f t="shared" si="5"/>
        <v/>
      </c>
      <c r="O111" s="9" t="str">
        <f t="shared" si="6"/>
        <v/>
      </c>
      <c r="P111" s="9" t="str">
        <f t="shared" si="7"/>
        <v/>
      </c>
      <c r="Q111" s="9" t="str">
        <f t="shared" si="8"/>
        <v/>
      </c>
      <c r="R111" s="9" t="str">
        <f t="shared" si="9"/>
        <v/>
      </c>
    </row>
    <row r="112">
      <c r="A112" s="1" t="str">
        <f t="shared" si="1"/>
        <v/>
      </c>
      <c r="G112" s="9" t="str">
        <f>IFERROR(__xludf.DUMMYFUNCTION("IF(B112="""","""",ROUND(XLOOKUP(B112, FLATTEN(B$1:E111), FLATTEN(O$1:R111), 500, 0, -1)))"),"")</f>
        <v/>
      </c>
      <c r="H112" s="9" t="str">
        <f>IFERROR(__xludf.DUMMYFUNCTION("IF(C112="""","""",ROUND(XLOOKUP(C112, FLATTEN(B$1:E111), FLATTEN(O$1:R111), 500, 0, -1)))"),"")</f>
        <v/>
      </c>
      <c r="I112" s="9" t="str">
        <f>IFERROR(__xludf.DUMMYFUNCTION("IF(D112="""","""",ROUND(XLOOKUP(D112, FLATTEN(B$1:E111), FLATTEN(O$1:R111), 500, 0, -1)))"),"")</f>
        <v/>
      </c>
      <c r="J112" s="9" t="str">
        <f>IFERROR(__xludf.DUMMYFUNCTION("IF(E112="""","""",ROUND(XLOOKUP(E112, FLATTEN(B$1:E111), FLATTEN(O$1:R111), 500, 0, -1)))"),"")</f>
        <v/>
      </c>
      <c r="K112" s="9" t="str">
        <f t="shared" si="2"/>
        <v/>
      </c>
      <c r="L112" s="9" t="str">
        <f t="shared" si="3"/>
        <v/>
      </c>
      <c r="M112" s="32" t="str">
        <f t="shared" si="4"/>
        <v/>
      </c>
      <c r="N112" s="9" t="str">
        <f t="shared" si="5"/>
        <v/>
      </c>
      <c r="O112" s="9" t="str">
        <f t="shared" si="6"/>
        <v/>
      </c>
      <c r="P112" s="9" t="str">
        <f t="shared" si="7"/>
        <v/>
      </c>
      <c r="Q112" s="9" t="str">
        <f t="shared" si="8"/>
        <v/>
      </c>
      <c r="R112" s="9" t="str">
        <f t="shared" si="9"/>
        <v/>
      </c>
    </row>
    <row r="113">
      <c r="A113" s="1" t="str">
        <f t="shared" si="1"/>
        <v/>
      </c>
      <c r="G113" s="9" t="str">
        <f>IFERROR(__xludf.DUMMYFUNCTION("IF(B113="""","""",ROUND(XLOOKUP(B113, FLATTEN(B$1:E112), FLATTEN(O$1:R112), 500, 0, -1)))"),"")</f>
        <v/>
      </c>
      <c r="H113" s="9" t="str">
        <f>IFERROR(__xludf.DUMMYFUNCTION("IF(C113="""","""",ROUND(XLOOKUP(C113, FLATTEN(B$1:E112), FLATTEN(O$1:R112), 500, 0, -1)))"),"")</f>
        <v/>
      </c>
      <c r="I113" s="9" t="str">
        <f>IFERROR(__xludf.DUMMYFUNCTION("IF(D113="""","""",ROUND(XLOOKUP(D113, FLATTEN(B$1:E112), FLATTEN(O$1:R112), 500, 0, -1)))"),"")</f>
        <v/>
      </c>
      <c r="J113" s="9" t="str">
        <f>IFERROR(__xludf.DUMMYFUNCTION("IF(E113="""","""",ROUND(XLOOKUP(E113, FLATTEN(B$1:E112), FLATTEN(O$1:R112), 500, 0, -1)))"),"")</f>
        <v/>
      </c>
      <c r="K113" s="9" t="str">
        <f t="shared" si="2"/>
        <v/>
      </c>
      <c r="L113" s="9" t="str">
        <f t="shared" si="3"/>
        <v/>
      </c>
      <c r="M113" s="32" t="str">
        <f t="shared" si="4"/>
        <v/>
      </c>
      <c r="N113" s="9" t="str">
        <f t="shared" si="5"/>
        <v/>
      </c>
      <c r="O113" s="9" t="str">
        <f t="shared" si="6"/>
        <v/>
      </c>
      <c r="P113" s="9" t="str">
        <f t="shared" si="7"/>
        <v/>
      </c>
      <c r="Q113" s="9" t="str">
        <f t="shared" si="8"/>
        <v/>
      </c>
      <c r="R113" s="9" t="str">
        <f t="shared" si="9"/>
        <v/>
      </c>
    </row>
    <row r="114">
      <c r="A114" s="1" t="str">
        <f t="shared" si="1"/>
        <v/>
      </c>
      <c r="G114" s="9" t="str">
        <f>IFERROR(__xludf.DUMMYFUNCTION("IF(B114="""","""",ROUND(XLOOKUP(B114, FLATTEN(B$1:E113), FLATTEN(O$1:R113), 500, 0, -1)))"),"")</f>
        <v/>
      </c>
      <c r="H114" s="9" t="str">
        <f>IFERROR(__xludf.DUMMYFUNCTION("IF(C114="""","""",ROUND(XLOOKUP(C114, FLATTEN(B$1:E113), FLATTEN(O$1:R113), 500, 0, -1)))"),"")</f>
        <v/>
      </c>
      <c r="I114" s="9" t="str">
        <f>IFERROR(__xludf.DUMMYFUNCTION("IF(D114="""","""",ROUND(XLOOKUP(D114, FLATTEN(B$1:E113), FLATTEN(O$1:R113), 500, 0, -1)))"),"")</f>
        <v/>
      </c>
      <c r="J114" s="9" t="str">
        <f>IFERROR(__xludf.DUMMYFUNCTION("IF(E114="""","""",ROUND(XLOOKUP(E114, FLATTEN(B$1:E113), FLATTEN(O$1:R113), 500, 0, -1)))"),"")</f>
        <v/>
      </c>
      <c r="K114" s="9" t="str">
        <f t="shared" si="2"/>
        <v/>
      </c>
      <c r="L114" s="9" t="str">
        <f t="shared" si="3"/>
        <v/>
      </c>
      <c r="M114" s="32" t="str">
        <f t="shared" si="4"/>
        <v/>
      </c>
      <c r="N114" s="9" t="str">
        <f t="shared" si="5"/>
        <v/>
      </c>
      <c r="O114" s="9" t="str">
        <f t="shared" si="6"/>
        <v/>
      </c>
      <c r="P114" s="9" t="str">
        <f t="shared" si="7"/>
        <v/>
      </c>
      <c r="Q114" s="9" t="str">
        <f t="shared" si="8"/>
        <v/>
      </c>
      <c r="R114" s="9" t="str">
        <f t="shared" si="9"/>
        <v/>
      </c>
    </row>
    <row r="115">
      <c r="A115" s="1" t="str">
        <f t="shared" si="1"/>
        <v/>
      </c>
      <c r="G115" s="9" t="str">
        <f>IFERROR(__xludf.DUMMYFUNCTION("IF(B115="""","""",ROUND(XLOOKUP(B115, FLATTEN(B$1:E114), FLATTEN(O$1:R114), 500, 0, -1)))"),"")</f>
        <v/>
      </c>
      <c r="H115" s="9" t="str">
        <f>IFERROR(__xludf.DUMMYFUNCTION("IF(C115="""","""",ROUND(XLOOKUP(C115, FLATTEN(B$1:E114), FLATTEN(O$1:R114), 500, 0, -1)))"),"")</f>
        <v/>
      </c>
      <c r="I115" s="9" t="str">
        <f>IFERROR(__xludf.DUMMYFUNCTION("IF(D115="""","""",ROUND(XLOOKUP(D115, FLATTEN(B$1:E114), FLATTEN(O$1:R114), 500, 0, -1)))"),"")</f>
        <v/>
      </c>
      <c r="J115" s="9" t="str">
        <f>IFERROR(__xludf.DUMMYFUNCTION("IF(E115="""","""",ROUND(XLOOKUP(E115, FLATTEN(B$1:E114), FLATTEN(O$1:R114), 500, 0, -1)))"),"")</f>
        <v/>
      </c>
      <c r="K115" s="9" t="str">
        <f t="shared" si="2"/>
        <v/>
      </c>
      <c r="L115" s="9" t="str">
        <f t="shared" si="3"/>
        <v/>
      </c>
      <c r="M115" s="32" t="str">
        <f t="shared" si="4"/>
        <v/>
      </c>
      <c r="N115" s="9" t="str">
        <f t="shared" si="5"/>
        <v/>
      </c>
      <c r="O115" s="9" t="str">
        <f t="shared" si="6"/>
        <v/>
      </c>
      <c r="P115" s="9" t="str">
        <f t="shared" si="7"/>
        <v/>
      </c>
      <c r="Q115" s="9" t="str">
        <f t="shared" si="8"/>
        <v/>
      </c>
      <c r="R115" s="9" t="str">
        <f t="shared" si="9"/>
        <v/>
      </c>
    </row>
    <row r="116">
      <c r="A116" s="1" t="str">
        <f t="shared" si="1"/>
        <v/>
      </c>
      <c r="G116" s="9" t="str">
        <f>IFERROR(__xludf.DUMMYFUNCTION("IF(B116="""","""",ROUND(XLOOKUP(B116, FLATTEN(B$1:E115), FLATTEN(O$1:R115), 500, 0, -1)))"),"")</f>
        <v/>
      </c>
      <c r="H116" s="9" t="str">
        <f>IFERROR(__xludf.DUMMYFUNCTION("IF(C116="""","""",ROUND(XLOOKUP(C116, FLATTEN(B$1:E115), FLATTEN(O$1:R115), 500, 0, -1)))"),"")</f>
        <v/>
      </c>
      <c r="I116" s="9" t="str">
        <f>IFERROR(__xludf.DUMMYFUNCTION("IF(D116="""","""",ROUND(XLOOKUP(D116, FLATTEN(B$1:E115), FLATTEN(O$1:R115), 500, 0, -1)))"),"")</f>
        <v/>
      </c>
      <c r="J116" s="9" t="str">
        <f>IFERROR(__xludf.DUMMYFUNCTION("IF(E116="""","""",ROUND(XLOOKUP(E116, FLATTEN(B$1:E115), FLATTEN(O$1:R115), 500, 0, -1)))"),"")</f>
        <v/>
      </c>
      <c r="K116" s="9" t="str">
        <f t="shared" si="2"/>
        <v/>
      </c>
      <c r="L116" s="9" t="str">
        <f t="shared" si="3"/>
        <v/>
      </c>
      <c r="M116" s="32" t="str">
        <f t="shared" si="4"/>
        <v/>
      </c>
      <c r="N116" s="9" t="str">
        <f t="shared" si="5"/>
        <v/>
      </c>
      <c r="O116" s="9" t="str">
        <f t="shared" si="6"/>
        <v/>
      </c>
      <c r="P116" s="9" t="str">
        <f t="shared" si="7"/>
        <v/>
      </c>
      <c r="Q116" s="9" t="str">
        <f t="shared" si="8"/>
        <v/>
      </c>
      <c r="R116" s="9" t="str">
        <f t="shared" si="9"/>
        <v/>
      </c>
    </row>
    <row r="117">
      <c r="A117" s="1" t="str">
        <f t="shared" si="1"/>
        <v/>
      </c>
      <c r="G117" s="9" t="str">
        <f>IFERROR(__xludf.DUMMYFUNCTION("IF(B117="""","""",ROUND(XLOOKUP(B117, FLATTEN(B$1:E116), FLATTEN(O$1:R116), 500, 0, -1)))"),"")</f>
        <v/>
      </c>
      <c r="H117" s="9" t="str">
        <f>IFERROR(__xludf.DUMMYFUNCTION("IF(C117="""","""",ROUND(XLOOKUP(C117, FLATTEN(B$1:E116), FLATTEN(O$1:R116), 500, 0, -1)))"),"")</f>
        <v/>
      </c>
      <c r="I117" s="9" t="str">
        <f>IFERROR(__xludf.DUMMYFUNCTION("IF(D117="""","""",ROUND(XLOOKUP(D117, FLATTEN(B$1:E116), FLATTEN(O$1:R116), 500, 0, -1)))"),"")</f>
        <v/>
      </c>
      <c r="J117" s="9" t="str">
        <f>IFERROR(__xludf.DUMMYFUNCTION("IF(E117="""","""",ROUND(XLOOKUP(E117, FLATTEN(B$1:E116), FLATTEN(O$1:R116), 500, 0, -1)))"),"")</f>
        <v/>
      </c>
      <c r="K117" s="9" t="str">
        <f t="shared" si="2"/>
        <v/>
      </c>
      <c r="L117" s="9" t="str">
        <f t="shared" si="3"/>
        <v/>
      </c>
      <c r="M117" s="32" t="str">
        <f t="shared" si="4"/>
        <v/>
      </c>
      <c r="N117" s="9" t="str">
        <f t="shared" si="5"/>
        <v/>
      </c>
      <c r="O117" s="9" t="str">
        <f t="shared" si="6"/>
        <v/>
      </c>
      <c r="P117" s="9" t="str">
        <f t="shared" si="7"/>
        <v/>
      </c>
      <c r="Q117" s="9" t="str">
        <f t="shared" si="8"/>
        <v/>
      </c>
      <c r="R117" s="9" t="str">
        <f t="shared" si="9"/>
        <v/>
      </c>
    </row>
    <row r="118">
      <c r="A118" s="1" t="str">
        <f t="shared" si="1"/>
        <v/>
      </c>
      <c r="G118" s="9" t="str">
        <f>IFERROR(__xludf.DUMMYFUNCTION("IF(B118="""","""",ROUND(XLOOKUP(B118, FLATTEN(B$1:E117), FLATTEN(O$1:R117), 500, 0, -1)))"),"")</f>
        <v/>
      </c>
      <c r="H118" s="9" t="str">
        <f>IFERROR(__xludf.DUMMYFUNCTION("IF(C118="""","""",ROUND(XLOOKUP(C118, FLATTEN(B$1:E117), FLATTEN(O$1:R117), 500, 0, -1)))"),"")</f>
        <v/>
      </c>
      <c r="I118" s="9" t="str">
        <f>IFERROR(__xludf.DUMMYFUNCTION("IF(D118="""","""",ROUND(XLOOKUP(D118, FLATTEN(B$1:E117), FLATTEN(O$1:R117), 500, 0, -1)))"),"")</f>
        <v/>
      </c>
      <c r="J118" s="9" t="str">
        <f>IFERROR(__xludf.DUMMYFUNCTION("IF(E118="""","""",ROUND(XLOOKUP(E118, FLATTEN(B$1:E117), FLATTEN(O$1:R117), 500, 0, -1)))"),"")</f>
        <v/>
      </c>
      <c r="K118" s="9" t="str">
        <f t="shared" si="2"/>
        <v/>
      </c>
      <c r="L118" s="9" t="str">
        <f t="shared" si="3"/>
        <v/>
      </c>
      <c r="M118" s="32" t="str">
        <f t="shared" si="4"/>
        <v/>
      </c>
      <c r="N118" s="9" t="str">
        <f t="shared" si="5"/>
        <v/>
      </c>
      <c r="O118" s="9" t="str">
        <f t="shared" si="6"/>
        <v/>
      </c>
      <c r="P118" s="9" t="str">
        <f t="shared" si="7"/>
        <v/>
      </c>
      <c r="Q118" s="9" t="str">
        <f t="shared" si="8"/>
        <v/>
      </c>
      <c r="R118" s="9" t="str">
        <f t="shared" si="9"/>
        <v/>
      </c>
    </row>
    <row r="119">
      <c r="A119" s="1" t="str">
        <f t="shared" si="1"/>
        <v/>
      </c>
      <c r="G119" s="9" t="str">
        <f>IFERROR(__xludf.DUMMYFUNCTION("IF(B119="""","""",ROUND(XLOOKUP(B119, FLATTEN(B$1:E118), FLATTEN(O$1:R118), 500, 0, -1)))"),"")</f>
        <v/>
      </c>
      <c r="H119" s="9" t="str">
        <f>IFERROR(__xludf.DUMMYFUNCTION("IF(C119="""","""",ROUND(XLOOKUP(C119, FLATTEN(B$1:E118), FLATTEN(O$1:R118), 500, 0, -1)))"),"")</f>
        <v/>
      </c>
      <c r="I119" s="9" t="str">
        <f>IFERROR(__xludf.DUMMYFUNCTION("IF(D119="""","""",ROUND(XLOOKUP(D119, FLATTEN(B$1:E118), FLATTEN(O$1:R118), 500, 0, -1)))"),"")</f>
        <v/>
      </c>
      <c r="J119" s="9" t="str">
        <f>IFERROR(__xludf.DUMMYFUNCTION("IF(E119="""","""",ROUND(XLOOKUP(E119, FLATTEN(B$1:E118), FLATTEN(O$1:R118), 500, 0, -1)))"),"")</f>
        <v/>
      </c>
      <c r="K119" s="9" t="str">
        <f t="shared" si="2"/>
        <v/>
      </c>
      <c r="L119" s="9" t="str">
        <f t="shared" si="3"/>
        <v/>
      </c>
      <c r="M119" s="32" t="str">
        <f t="shared" si="4"/>
        <v/>
      </c>
      <c r="N119" s="9" t="str">
        <f t="shared" si="5"/>
        <v/>
      </c>
      <c r="O119" s="9" t="str">
        <f t="shared" si="6"/>
        <v/>
      </c>
      <c r="P119" s="9" t="str">
        <f t="shared" si="7"/>
        <v/>
      </c>
      <c r="Q119" s="9" t="str">
        <f t="shared" si="8"/>
        <v/>
      </c>
      <c r="R119" s="9" t="str">
        <f t="shared" si="9"/>
        <v/>
      </c>
    </row>
    <row r="120">
      <c r="A120" s="1" t="str">
        <f t="shared" si="1"/>
        <v/>
      </c>
      <c r="G120" s="9" t="str">
        <f>IFERROR(__xludf.DUMMYFUNCTION("IF(B120="""","""",ROUND(XLOOKUP(B120, FLATTEN(B$1:E119), FLATTEN(O$1:R119), 500, 0, -1)))"),"")</f>
        <v/>
      </c>
      <c r="H120" s="9" t="str">
        <f>IFERROR(__xludf.DUMMYFUNCTION("IF(C120="""","""",ROUND(XLOOKUP(C120, FLATTEN(B$1:E119), FLATTEN(O$1:R119), 500, 0, -1)))"),"")</f>
        <v/>
      </c>
      <c r="I120" s="9" t="str">
        <f>IFERROR(__xludf.DUMMYFUNCTION("IF(D120="""","""",ROUND(XLOOKUP(D120, FLATTEN(B$1:E119), FLATTEN(O$1:R119), 500, 0, -1)))"),"")</f>
        <v/>
      </c>
      <c r="J120" s="9" t="str">
        <f>IFERROR(__xludf.DUMMYFUNCTION("IF(E120="""","""",ROUND(XLOOKUP(E120, FLATTEN(B$1:E119), FLATTEN(O$1:R119), 500, 0, -1)))"),"")</f>
        <v/>
      </c>
      <c r="K120" s="9" t="str">
        <f t="shared" si="2"/>
        <v/>
      </c>
      <c r="L120" s="9" t="str">
        <f t="shared" si="3"/>
        <v/>
      </c>
      <c r="M120" s="32" t="str">
        <f t="shared" si="4"/>
        <v/>
      </c>
      <c r="N120" s="9" t="str">
        <f t="shared" si="5"/>
        <v/>
      </c>
      <c r="O120" s="9" t="str">
        <f t="shared" si="6"/>
        <v/>
      </c>
      <c r="P120" s="9" t="str">
        <f t="shared" si="7"/>
        <v/>
      </c>
      <c r="Q120" s="9" t="str">
        <f t="shared" si="8"/>
        <v/>
      </c>
      <c r="R120" s="9" t="str">
        <f t="shared" si="9"/>
        <v/>
      </c>
    </row>
    <row r="121">
      <c r="A121" s="1" t="str">
        <f t="shared" si="1"/>
        <v/>
      </c>
      <c r="G121" s="9" t="str">
        <f>IFERROR(__xludf.DUMMYFUNCTION("IF(B121="""","""",ROUND(XLOOKUP(B121, FLATTEN(B$1:E120), FLATTEN(O$1:R120), 500, 0, -1)))"),"")</f>
        <v/>
      </c>
      <c r="H121" s="9" t="str">
        <f>IFERROR(__xludf.DUMMYFUNCTION("IF(C121="""","""",ROUND(XLOOKUP(C121, FLATTEN(B$1:E120), FLATTEN(O$1:R120), 500, 0, -1)))"),"")</f>
        <v/>
      </c>
      <c r="I121" s="9" t="str">
        <f>IFERROR(__xludf.DUMMYFUNCTION("IF(D121="""","""",ROUND(XLOOKUP(D121, FLATTEN(B$1:E120), FLATTEN(O$1:R120), 500, 0, -1)))"),"")</f>
        <v/>
      </c>
      <c r="J121" s="9" t="str">
        <f>IFERROR(__xludf.DUMMYFUNCTION("IF(E121="""","""",ROUND(XLOOKUP(E121, FLATTEN(B$1:E120), FLATTEN(O$1:R120), 500, 0, -1)))"),"")</f>
        <v/>
      </c>
      <c r="K121" s="9" t="str">
        <f t="shared" si="2"/>
        <v/>
      </c>
      <c r="L121" s="9" t="str">
        <f t="shared" si="3"/>
        <v/>
      </c>
      <c r="M121" s="32" t="str">
        <f t="shared" si="4"/>
        <v/>
      </c>
      <c r="N121" s="9" t="str">
        <f t="shared" si="5"/>
        <v/>
      </c>
      <c r="O121" s="9" t="str">
        <f t="shared" si="6"/>
        <v/>
      </c>
      <c r="P121" s="9" t="str">
        <f t="shared" si="7"/>
        <v/>
      </c>
      <c r="Q121" s="9" t="str">
        <f t="shared" si="8"/>
        <v/>
      </c>
      <c r="R121" s="9" t="str">
        <f t="shared" si="9"/>
        <v/>
      </c>
    </row>
    <row r="122">
      <c r="A122" s="1" t="str">
        <f t="shared" si="1"/>
        <v/>
      </c>
      <c r="G122" s="9" t="str">
        <f>IFERROR(__xludf.DUMMYFUNCTION("IF(B122="""","""",ROUND(XLOOKUP(B122, FLATTEN(B$1:E121), FLATTEN(O$1:R121), 500, 0, -1)))"),"")</f>
        <v/>
      </c>
      <c r="H122" s="9" t="str">
        <f>IFERROR(__xludf.DUMMYFUNCTION("IF(C122="""","""",ROUND(XLOOKUP(C122, FLATTEN(B$1:E121), FLATTEN(O$1:R121), 500, 0, -1)))"),"")</f>
        <v/>
      </c>
      <c r="I122" s="9" t="str">
        <f>IFERROR(__xludf.DUMMYFUNCTION("IF(D122="""","""",ROUND(XLOOKUP(D122, FLATTEN(B$1:E121), FLATTEN(O$1:R121), 500, 0, -1)))"),"")</f>
        <v/>
      </c>
      <c r="J122" s="9" t="str">
        <f>IFERROR(__xludf.DUMMYFUNCTION("IF(E122="""","""",ROUND(XLOOKUP(E122, FLATTEN(B$1:E121), FLATTEN(O$1:R121), 500, 0, -1)))"),"")</f>
        <v/>
      </c>
      <c r="K122" s="9" t="str">
        <f t="shared" si="2"/>
        <v/>
      </c>
      <c r="L122" s="9" t="str">
        <f t="shared" si="3"/>
        <v/>
      </c>
      <c r="M122" s="32" t="str">
        <f t="shared" si="4"/>
        <v/>
      </c>
      <c r="N122" s="9" t="str">
        <f t="shared" si="5"/>
        <v/>
      </c>
      <c r="O122" s="9" t="str">
        <f t="shared" si="6"/>
        <v/>
      </c>
      <c r="P122" s="9" t="str">
        <f t="shared" si="7"/>
        <v/>
      </c>
      <c r="Q122" s="9" t="str">
        <f t="shared" si="8"/>
        <v/>
      </c>
      <c r="R122" s="9" t="str">
        <f t="shared" si="9"/>
        <v/>
      </c>
    </row>
    <row r="123">
      <c r="A123" s="1" t="str">
        <f t="shared" si="1"/>
        <v/>
      </c>
      <c r="G123" s="9" t="str">
        <f>IFERROR(__xludf.DUMMYFUNCTION("IF(B123="""","""",ROUND(XLOOKUP(B123, FLATTEN(B$1:E122), FLATTEN(O$1:R122), 500, 0, -1)))"),"")</f>
        <v/>
      </c>
      <c r="H123" s="9" t="str">
        <f>IFERROR(__xludf.DUMMYFUNCTION("IF(C123="""","""",ROUND(XLOOKUP(C123, FLATTEN(B$1:E122), FLATTEN(O$1:R122), 500, 0, -1)))"),"")</f>
        <v/>
      </c>
      <c r="I123" s="9" t="str">
        <f>IFERROR(__xludf.DUMMYFUNCTION("IF(D123="""","""",ROUND(XLOOKUP(D123, FLATTEN(B$1:E122), FLATTEN(O$1:R122), 500, 0, -1)))"),"")</f>
        <v/>
      </c>
      <c r="J123" s="9" t="str">
        <f>IFERROR(__xludf.DUMMYFUNCTION("IF(E123="""","""",ROUND(XLOOKUP(E123, FLATTEN(B$1:E122), FLATTEN(O$1:R122), 500, 0, -1)))"),"")</f>
        <v/>
      </c>
      <c r="K123" s="9" t="str">
        <f t="shared" si="2"/>
        <v/>
      </c>
      <c r="L123" s="9" t="str">
        <f t="shared" si="3"/>
        <v/>
      </c>
      <c r="M123" s="32" t="str">
        <f t="shared" si="4"/>
        <v/>
      </c>
      <c r="N123" s="9" t="str">
        <f t="shared" si="5"/>
        <v/>
      </c>
      <c r="O123" s="9" t="str">
        <f t="shared" si="6"/>
        <v/>
      </c>
      <c r="P123" s="9" t="str">
        <f t="shared" si="7"/>
        <v/>
      </c>
      <c r="Q123" s="9" t="str">
        <f t="shared" si="8"/>
        <v/>
      </c>
      <c r="R123" s="9" t="str">
        <f t="shared" si="9"/>
        <v/>
      </c>
    </row>
    <row r="124">
      <c r="A124" s="1" t="str">
        <f t="shared" si="1"/>
        <v/>
      </c>
      <c r="G124" s="9" t="str">
        <f>IFERROR(__xludf.DUMMYFUNCTION("IF(B124="""","""",ROUND(XLOOKUP(B124, FLATTEN(B$1:E123), FLATTEN(O$1:R123), 500, 0, -1)))"),"")</f>
        <v/>
      </c>
      <c r="H124" s="9" t="str">
        <f>IFERROR(__xludf.DUMMYFUNCTION("IF(C124="""","""",ROUND(XLOOKUP(C124, FLATTEN(B$1:E123), FLATTEN(O$1:R123), 500, 0, -1)))"),"")</f>
        <v/>
      </c>
      <c r="I124" s="9" t="str">
        <f>IFERROR(__xludf.DUMMYFUNCTION("IF(D124="""","""",ROUND(XLOOKUP(D124, FLATTEN(B$1:E123), FLATTEN(O$1:R123), 500, 0, -1)))"),"")</f>
        <v/>
      </c>
      <c r="J124" s="9" t="str">
        <f>IFERROR(__xludf.DUMMYFUNCTION("IF(E124="""","""",ROUND(XLOOKUP(E124, FLATTEN(B$1:E123), FLATTEN(O$1:R123), 500, 0, -1)))"),"")</f>
        <v/>
      </c>
      <c r="K124" s="9" t="str">
        <f t="shared" si="2"/>
        <v/>
      </c>
      <c r="L124" s="9" t="str">
        <f t="shared" si="3"/>
        <v/>
      </c>
      <c r="M124" s="32" t="str">
        <f t="shared" si="4"/>
        <v/>
      </c>
      <c r="N124" s="9" t="str">
        <f t="shared" si="5"/>
        <v/>
      </c>
      <c r="O124" s="9" t="str">
        <f t="shared" si="6"/>
        <v/>
      </c>
      <c r="P124" s="9" t="str">
        <f t="shared" si="7"/>
        <v/>
      </c>
      <c r="Q124" s="9" t="str">
        <f t="shared" si="8"/>
        <v/>
      </c>
      <c r="R124" s="9" t="str">
        <f t="shared" si="9"/>
        <v/>
      </c>
    </row>
    <row r="125">
      <c r="A125" s="1" t="str">
        <f t="shared" si="1"/>
        <v/>
      </c>
      <c r="G125" s="9" t="str">
        <f>IFERROR(__xludf.DUMMYFUNCTION("IF(B125="""","""",ROUND(XLOOKUP(B125, FLATTEN(B$1:E124), FLATTEN(O$1:R124), 500, 0, -1)))"),"")</f>
        <v/>
      </c>
      <c r="H125" s="9" t="str">
        <f>IFERROR(__xludf.DUMMYFUNCTION("IF(C125="""","""",ROUND(XLOOKUP(C125, FLATTEN(B$1:E124), FLATTEN(O$1:R124), 500, 0, -1)))"),"")</f>
        <v/>
      </c>
      <c r="I125" s="9" t="str">
        <f>IFERROR(__xludf.DUMMYFUNCTION("IF(D125="""","""",ROUND(XLOOKUP(D125, FLATTEN(B$1:E124), FLATTEN(O$1:R124), 500, 0, -1)))"),"")</f>
        <v/>
      </c>
      <c r="J125" s="9" t="str">
        <f>IFERROR(__xludf.DUMMYFUNCTION("IF(E125="""","""",ROUND(XLOOKUP(E125, FLATTEN(B$1:E124), FLATTEN(O$1:R124), 500, 0, -1)))"),"")</f>
        <v/>
      </c>
      <c r="K125" s="9" t="str">
        <f t="shared" si="2"/>
        <v/>
      </c>
      <c r="L125" s="9" t="str">
        <f t="shared" si="3"/>
        <v/>
      </c>
      <c r="M125" s="32" t="str">
        <f t="shared" si="4"/>
        <v/>
      </c>
      <c r="N125" s="9" t="str">
        <f t="shared" si="5"/>
        <v/>
      </c>
      <c r="O125" s="9" t="str">
        <f t="shared" si="6"/>
        <v/>
      </c>
      <c r="P125" s="9" t="str">
        <f t="shared" si="7"/>
        <v/>
      </c>
      <c r="Q125" s="9" t="str">
        <f t="shared" si="8"/>
        <v/>
      </c>
      <c r="R125" s="9" t="str">
        <f t="shared" si="9"/>
        <v/>
      </c>
    </row>
    <row r="126">
      <c r="A126" s="1" t="str">
        <f t="shared" si="1"/>
        <v/>
      </c>
      <c r="G126" s="9" t="str">
        <f>IFERROR(__xludf.DUMMYFUNCTION("IF(B126="""","""",ROUND(XLOOKUP(B126, FLATTEN(B$1:E125), FLATTEN(O$1:R125), 500, 0, -1)))"),"")</f>
        <v/>
      </c>
      <c r="H126" s="9" t="str">
        <f>IFERROR(__xludf.DUMMYFUNCTION("IF(C126="""","""",ROUND(XLOOKUP(C126, FLATTEN(B$1:E125), FLATTEN(O$1:R125), 500, 0, -1)))"),"")</f>
        <v/>
      </c>
      <c r="I126" s="9" t="str">
        <f>IFERROR(__xludf.DUMMYFUNCTION("IF(D126="""","""",ROUND(XLOOKUP(D126, FLATTEN(B$1:E125), FLATTEN(O$1:R125), 500, 0, -1)))"),"")</f>
        <v/>
      </c>
      <c r="J126" s="9" t="str">
        <f>IFERROR(__xludf.DUMMYFUNCTION("IF(E126="""","""",ROUND(XLOOKUP(E126, FLATTEN(B$1:E125), FLATTEN(O$1:R125), 500, 0, -1)))"),"")</f>
        <v/>
      </c>
      <c r="K126" s="9" t="str">
        <f t="shared" si="2"/>
        <v/>
      </c>
      <c r="L126" s="9" t="str">
        <f t="shared" si="3"/>
        <v/>
      </c>
      <c r="M126" s="32" t="str">
        <f t="shared" si="4"/>
        <v/>
      </c>
      <c r="N126" s="9" t="str">
        <f t="shared" si="5"/>
        <v/>
      </c>
      <c r="O126" s="9" t="str">
        <f t="shared" si="6"/>
        <v/>
      </c>
      <c r="P126" s="9" t="str">
        <f t="shared" si="7"/>
        <v/>
      </c>
      <c r="Q126" s="9" t="str">
        <f t="shared" si="8"/>
        <v/>
      </c>
      <c r="R126" s="9" t="str">
        <f t="shared" si="9"/>
        <v/>
      </c>
    </row>
    <row r="127">
      <c r="A127" s="1" t="str">
        <f t="shared" si="1"/>
        <v/>
      </c>
      <c r="G127" s="9" t="str">
        <f>IFERROR(__xludf.DUMMYFUNCTION("IF(B127="""","""",ROUND(XLOOKUP(B127, FLATTEN(B$1:E126), FLATTEN(O$1:R126), 500, 0, -1)))"),"")</f>
        <v/>
      </c>
      <c r="H127" s="9" t="str">
        <f>IFERROR(__xludf.DUMMYFUNCTION("IF(C127="""","""",ROUND(XLOOKUP(C127, FLATTEN(B$1:E126), FLATTEN(O$1:R126), 500, 0, -1)))"),"")</f>
        <v/>
      </c>
      <c r="I127" s="9" t="str">
        <f>IFERROR(__xludf.DUMMYFUNCTION("IF(D127="""","""",ROUND(XLOOKUP(D127, FLATTEN(B$1:E126), FLATTEN(O$1:R126), 500, 0, -1)))"),"")</f>
        <v/>
      </c>
      <c r="J127" s="9" t="str">
        <f>IFERROR(__xludf.DUMMYFUNCTION("IF(E127="""","""",ROUND(XLOOKUP(E127, FLATTEN(B$1:E126), FLATTEN(O$1:R126), 500, 0, -1)))"),"")</f>
        <v/>
      </c>
      <c r="K127" s="9" t="str">
        <f t="shared" si="2"/>
        <v/>
      </c>
      <c r="L127" s="9" t="str">
        <f t="shared" si="3"/>
        <v/>
      </c>
      <c r="M127" s="32" t="str">
        <f t="shared" si="4"/>
        <v/>
      </c>
      <c r="N127" s="9" t="str">
        <f t="shared" si="5"/>
        <v/>
      </c>
      <c r="O127" s="9" t="str">
        <f t="shared" si="6"/>
        <v/>
      </c>
      <c r="P127" s="9" t="str">
        <f t="shared" si="7"/>
        <v/>
      </c>
      <c r="Q127" s="9" t="str">
        <f t="shared" si="8"/>
        <v/>
      </c>
      <c r="R127" s="9" t="str">
        <f t="shared" si="9"/>
        <v/>
      </c>
    </row>
    <row r="128">
      <c r="A128" s="1" t="str">
        <f t="shared" si="1"/>
        <v/>
      </c>
      <c r="G128" s="9" t="str">
        <f>IFERROR(__xludf.DUMMYFUNCTION("IF(B128="""","""",ROUND(XLOOKUP(B128, FLATTEN(B$1:E127), FLATTEN(O$1:R127), 500, 0, -1)))"),"")</f>
        <v/>
      </c>
      <c r="H128" s="9" t="str">
        <f>IFERROR(__xludf.DUMMYFUNCTION("IF(C128="""","""",ROUND(XLOOKUP(C128, FLATTEN(B$1:E127), FLATTEN(O$1:R127), 500, 0, -1)))"),"")</f>
        <v/>
      </c>
      <c r="I128" s="9" t="str">
        <f>IFERROR(__xludf.DUMMYFUNCTION("IF(D128="""","""",ROUND(XLOOKUP(D128, FLATTEN(B$1:E127), FLATTEN(O$1:R127), 500, 0, -1)))"),"")</f>
        <v/>
      </c>
      <c r="J128" s="9" t="str">
        <f>IFERROR(__xludf.DUMMYFUNCTION("IF(E128="""","""",ROUND(XLOOKUP(E128, FLATTEN(B$1:E127), FLATTEN(O$1:R127), 500, 0, -1)))"),"")</f>
        <v/>
      </c>
      <c r="K128" s="9" t="str">
        <f t="shared" si="2"/>
        <v/>
      </c>
      <c r="L128" s="9" t="str">
        <f t="shared" si="3"/>
        <v/>
      </c>
      <c r="M128" s="32" t="str">
        <f t="shared" si="4"/>
        <v/>
      </c>
      <c r="N128" s="9" t="str">
        <f t="shared" si="5"/>
        <v/>
      </c>
      <c r="O128" s="9" t="str">
        <f t="shared" si="6"/>
        <v/>
      </c>
      <c r="P128" s="9" t="str">
        <f t="shared" si="7"/>
        <v/>
      </c>
      <c r="Q128" s="9" t="str">
        <f t="shared" si="8"/>
        <v/>
      </c>
      <c r="R128" s="9" t="str">
        <f t="shared" si="9"/>
        <v/>
      </c>
    </row>
    <row r="129">
      <c r="A129" s="1" t="str">
        <f t="shared" si="1"/>
        <v/>
      </c>
      <c r="G129" s="9" t="str">
        <f>IFERROR(__xludf.DUMMYFUNCTION("IF(B129="""","""",ROUND(XLOOKUP(B129, FLATTEN(B$1:E128), FLATTEN(O$1:R128), 500, 0, -1)))"),"")</f>
        <v/>
      </c>
      <c r="H129" s="9" t="str">
        <f>IFERROR(__xludf.DUMMYFUNCTION("IF(C129="""","""",ROUND(XLOOKUP(C129, FLATTEN(B$1:E128), FLATTEN(O$1:R128), 500, 0, -1)))"),"")</f>
        <v/>
      </c>
      <c r="I129" s="9" t="str">
        <f>IFERROR(__xludf.DUMMYFUNCTION("IF(D129="""","""",ROUND(XLOOKUP(D129, FLATTEN(B$1:E128), FLATTEN(O$1:R128), 500, 0, -1)))"),"")</f>
        <v/>
      </c>
      <c r="J129" s="9" t="str">
        <f>IFERROR(__xludf.DUMMYFUNCTION("IF(E129="""","""",ROUND(XLOOKUP(E129, FLATTEN(B$1:E128), FLATTEN(O$1:R128), 500, 0, -1)))"),"")</f>
        <v/>
      </c>
      <c r="K129" s="9" t="str">
        <f t="shared" si="2"/>
        <v/>
      </c>
      <c r="L129" s="9" t="str">
        <f t="shared" si="3"/>
        <v/>
      </c>
      <c r="M129" s="32" t="str">
        <f t="shared" si="4"/>
        <v/>
      </c>
      <c r="N129" s="9" t="str">
        <f t="shared" si="5"/>
        <v/>
      </c>
      <c r="O129" s="9" t="str">
        <f t="shared" si="6"/>
        <v/>
      </c>
      <c r="P129" s="9" t="str">
        <f t="shared" si="7"/>
        <v/>
      </c>
      <c r="Q129" s="9" t="str">
        <f t="shared" si="8"/>
        <v/>
      </c>
      <c r="R129" s="9" t="str">
        <f t="shared" si="9"/>
        <v/>
      </c>
    </row>
    <row r="130">
      <c r="A130" s="1" t="str">
        <f t="shared" si="1"/>
        <v/>
      </c>
      <c r="G130" s="9" t="str">
        <f>IFERROR(__xludf.DUMMYFUNCTION("IF(B130="""","""",ROUND(XLOOKUP(B130, FLATTEN(B$1:E129), FLATTEN(O$1:R129), 500, 0, -1)))"),"")</f>
        <v/>
      </c>
      <c r="H130" s="9" t="str">
        <f>IFERROR(__xludf.DUMMYFUNCTION("IF(C130="""","""",ROUND(XLOOKUP(C130, FLATTEN(B$1:E129), FLATTEN(O$1:R129), 500, 0, -1)))"),"")</f>
        <v/>
      </c>
      <c r="I130" s="9" t="str">
        <f>IFERROR(__xludf.DUMMYFUNCTION("IF(D130="""","""",ROUND(XLOOKUP(D130, FLATTEN(B$1:E129), FLATTEN(O$1:R129), 500, 0, -1)))"),"")</f>
        <v/>
      </c>
      <c r="J130" s="9" t="str">
        <f>IFERROR(__xludf.DUMMYFUNCTION("IF(E130="""","""",ROUND(XLOOKUP(E130, FLATTEN(B$1:E129), FLATTEN(O$1:R129), 500, 0, -1)))"),"")</f>
        <v/>
      </c>
      <c r="K130" s="9" t="str">
        <f t="shared" si="2"/>
        <v/>
      </c>
      <c r="L130" s="9" t="str">
        <f t="shared" si="3"/>
        <v/>
      </c>
      <c r="M130" s="32" t="str">
        <f t="shared" si="4"/>
        <v/>
      </c>
      <c r="N130" s="9" t="str">
        <f t="shared" si="5"/>
        <v/>
      </c>
      <c r="O130" s="9" t="str">
        <f t="shared" si="6"/>
        <v/>
      </c>
      <c r="P130" s="9" t="str">
        <f t="shared" si="7"/>
        <v/>
      </c>
      <c r="Q130" s="9" t="str">
        <f t="shared" si="8"/>
        <v/>
      </c>
      <c r="R130" s="9" t="str">
        <f t="shared" si="9"/>
        <v/>
      </c>
    </row>
    <row r="131">
      <c r="A131" s="1" t="str">
        <f t="shared" si="1"/>
        <v/>
      </c>
      <c r="G131" s="9" t="str">
        <f>IFERROR(__xludf.DUMMYFUNCTION("IF(B131="""","""",ROUND(XLOOKUP(B131, FLATTEN(B$1:E130), FLATTEN(O$1:R130), 500, 0, -1)))"),"")</f>
        <v/>
      </c>
      <c r="H131" s="9" t="str">
        <f>IFERROR(__xludf.DUMMYFUNCTION("IF(C131="""","""",ROUND(XLOOKUP(C131, FLATTEN(B$1:E130), FLATTEN(O$1:R130), 500, 0, -1)))"),"")</f>
        <v/>
      </c>
      <c r="I131" s="9" t="str">
        <f>IFERROR(__xludf.DUMMYFUNCTION("IF(D131="""","""",ROUND(XLOOKUP(D131, FLATTEN(B$1:E130), FLATTEN(O$1:R130), 500, 0, -1)))"),"")</f>
        <v/>
      </c>
      <c r="J131" s="9" t="str">
        <f>IFERROR(__xludf.DUMMYFUNCTION("IF(E131="""","""",ROUND(XLOOKUP(E131, FLATTEN(B$1:E130), FLATTEN(O$1:R130), 500, 0, -1)))"),"")</f>
        <v/>
      </c>
      <c r="K131" s="9" t="str">
        <f t="shared" si="2"/>
        <v/>
      </c>
      <c r="L131" s="9" t="str">
        <f t="shared" si="3"/>
        <v/>
      </c>
      <c r="M131" s="32" t="str">
        <f t="shared" si="4"/>
        <v/>
      </c>
      <c r="N131" s="9" t="str">
        <f t="shared" si="5"/>
        <v/>
      </c>
      <c r="O131" s="9" t="str">
        <f t="shared" si="6"/>
        <v/>
      </c>
      <c r="P131" s="9" t="str">
        <f t="shared" si="7"/>
        <v/>
      </c>
      <c r="Q131" s="9" t="str">
        <f t="shared" si="8"/>
        <v/>
      </c>
      <c r="R131" s="9" t="str">
        <f t="shared" si="9"/>
        <v/>
      </c>
    </row>
    <row r="132">
      <c r="A132" s="1" t="str">
        <f t="shared" si="1"/>
        <v/>
      </c>
      <c r="G132" s="9" t="str">
        <f>IFERROR(__xludf.DUMMYFUNCTION("IF(B132="""","""",ROUND(XLOOKUP(B132, FLATTEN(B$1:E131), FLATTEN(O$1:R131), 500, 0, -1)))"),"")</f>
        <v/>
      </c>
      <c r="H132" s="9" t="str">
        <f>IFERROR(__xludf.DUMMYFUNCTION("IF(C132="""","""",ROUND(XLOOKUP(C132, FLATTEN(B$1:E131), FLATTEN(O$1:R131), 500, 0, -1)))"),"")</f>
        <v/>
      </c>
      <c r="I132" s="9" t="str">
        <f>IFERROR(__xludf.DUMMYFUNCTION("IF(D132="""","""",ROUND(XLOOKUP(D132, FLATTEN(B$1:E131), FLATTEN(O$1:R131), 500, 0, -1)))"),"")</f>
        <v/>
      </c>
      <c r="J132" s="9" t="str">
        <f>IFERROR(__xludf.DUMMYFUNCTION("IF(E132="""","""",ROUND(XLOOKUP(E132, FLATTEN(B$1:E131), FLATTEN(O$1:R131), 500, 0, -1)))"),"")</f>
        <v/>
      </c>
      <c r="K132" s="9" t="str">
        <f t="shared" si="2"/>
        <v/>
      </c>
      <c r="L132" s="9" t="str">
        <f t="shared" si="3"/>
        <v/>
      </c>
      <c r="M132" s="32" t="str">
        <f t="shared" si="4"/>
        <v/>
      </c>
      <c r="N132" s="9" t="str">
        <f t="shared" si="5"/>
        <v/>
      </c>
      <c r="O132" s="9" t="str">
        <f t="shared" si="6"/>
        <v/>
      </c>
      <c r="P132" s="9" t="str">
        <f t="shared" si="7"/>
        <v/>
      </c>
      <c r="Q132" s="9" t="str">
        <f t="shared" si="8"/>
        <v/>
      </c>
      <c r="R132" s="9" t="str">
        <f t="shared" si="9"/>
        <v/>
      </c>
    </row>
    <row r="133">
      <c r="A133" s="1" t="str">
        <f t="shared" si="1"/>
        <v/>
      </c>
      <c r="G133" s="9" t="str">
        <f>IFERROR(__xludf.DUMMYFUNCTION("IF(B133="""","""",ROUND(XLOOKUP(B133, FLATTEN(B$1:E132), FLATTEN(O$1:R132), 500, 0, -1)))"),"")</f>
        <v/>
      </c>
      <c r="H133" s="9" t="str">
        <f>IFERROR(__xludf.DUMMYFUNCTION("IF(C133="""","""",ROUND(XLOOKUP(C133, FLATTEN(B$1:E132), FLATTEN(O$1:R132), 500, 0, -1)))"),"")</f>
        <v/>
      </c>
      <c r="I133" s="9" t="str">
        <f>IFERROR(__xludf.DUMMYFUNCTION("IF(D133="""","""",ROUND(XLOOKUP(D133, FLATTEN(B$1:E132), FLATTEN(O$1:R132), 500, 0, -1)))"),"")</f>
        <v/>
      </c>
      <c r="J133" s="9" t="str">
        <f>IFERROR(__xludf.DUMMYFUNCTION("IF(E133="""","""",ROUND(XLOOKUP(E133, FLATTEN(B$1:E132), FLATTEN(O$1:R132), 500, 0, -1)))"),"")</f>
        <v/>
      </c>
      <c r="K133" s="9" t="str">
        <f t="shared" si="2"/>
        <v/>
      </c>
      <c r="L133" s="9" t="str">
        <f t="shared" si="3"/>
        <v/>
      </c>
      <c r="M133" s="32" t="str">
        <f t="shared" si="4"/>
        <v/>
      </c>
      <c r="N133" s="9" t="str">
        <f t="shared" si="5"/>
        <v/>
      </c>
      <c r="O133" s="9" t="str">
        <f t="shared" si="6"/>
        <v/>
      </c>
      <c r="P133" s="9" t="str">
        <f t="shared" si="7"/>
        <v/>
      </c>
      <c r="Q133" s="9" t="str">
        <f t="shared" si="8"/>
        <v/>
      </c>
      <c r="R133" s="9" t="str">
        <f t="shared" si="9"/>
        <v/>
      </c>
    </row>
    <row r="134">
      <c r="A134" s="1" t="str">
        <f t="shared" si="1"/>
        <v/>
      </c>
      <c r="G134" s="9" t="str">
        <f>IFERROR(__xludf.DUMMYFUNCTION("IF(B134="""","""",ROUND(XLOOKUP(B134, FLATTEN(B$1:E133), FLATTEN(O$1:R133), 500, 0, -1)))"),"")</f>
        <v/>
      </c>
      <c r="H134" s="9" t="str">
        <f>IFERROR(__xludf.DUMMYFUNCTION("IF(C134="""","""",ROUND(XLOOKUP(C134, FLATTEN(B$1:E133), FLATTEN(O$1:R133), 500, 0, -1)))"),"")</f>
        <v/>
      </c>
      <c r="I134" s="9" t="str">
        <f>IFERROR(__xludf.DUMMYFUNCTION("IF(D134="""","""",ROUND(XLOOKUP(D134, FLATTEN(B$1:E133), FLATTEN(O$1:R133), 500, 0, -1)))"),"")</f>
        <v/>
      </c>
      <c r="J134" s="9" t="str">
        <f>IFERROR(__xludf.DUMMYFUNCTION("IF(E134="""","""",ROUND(XLOOKUP(E134, FLATTEN(B$1:E133), FLATTEN(O$1:R133), 500, 0, -1)))"),"")</f>
        <v/>
      </c>
      <c r="K134" s="9" t="str">
        <f t="shared" si="2"/>
        <v/>
      </c>
      <c r="L134" s="9" t="str">
        <f t="shared" si="3"/>
        <v/>
      </c>
      <c r="M134" s="32" t="str">
        <f t="shared" si="4"/>
        <v/>
      </c>
      <c r="N134" s="9" t="str">
        <f t="shared" si="5"/>
        <v/>
      </c>
      <c r="O134" s="9" t="str">
        <f t="shared" si="6"/>
        <v/>
      </c>
      <c r="P134" s="9" t="str">
        <f t="shared" si="7"/>
        <v/>
      </c>
      <c r="Q134" s="9" t="str">
        <f t="shared" si="8"/>
        <v/>
      </c>
      <c r="R134" s="9" t="str">
        <f t="shared" si="9"/>
        <v/>
      </c>
    </row>
    <row r="135">
      <c r="A135" s="1" t="str">
        <f t="shared" si="1"/>
        <v/>
      </c>
      <c r="G135" s="9" t="str">
        <f>IFERROR(__xludf.DUMMYFUNCTION("IF(B135="""","""",ROUND(XLOOKUP(B135, FLATTEN(B$1:E134), FLATTEN(O$1:R134), 500, 0, -1)))"),"")</f>
        <v/>
      </c>
      <c r="H135" s="9" t="str">
        <f>IFERROR(__xludf.DUMMYFUNCTION("IF(C135="""","""",ROUND(XLOOKUP(C135, FLATTEN(B$1:E134), FLATTEN(O$1:R134), 500, 0, -1)))"),"")</f>
        <v/>
      </c>
      <c r="I135" s="9" t="str">
        <f>IFERROR(__xludf.DUMMYFUNCTION("IF(D135="""","""",ROUND(XLOOKUP(D135, FLATTEN(B$1:E134), FLATTEN(O$1:R134), 500, 0, -1)))"),"")</f>
        <v/>
      </c>
      <c r="J135" s="9" t="str">
        <f>IFERROR(__xludf.DUMMYFUNCTION("IF(E135="""","""",ROUND(XLOOKUP(E135, FLATTEN(B$1:E134), FLATTEN(O$1:R134), 500, 0, -1)))"),"")</f>
        <v/>
      </c>
      <c r="K135" s="9" t="str">
        <f t="shared" si="2"/>
        <v/>
      </c>
      <c r="L135" s="9" t="str">
        <f t="shared" si="3"/>
        <v/>
      </c>
      <c r="M135" s="32" t="str">
        <f t="shared" si="4"/>
        <v/>
      </c>
      <c r="N135" s="9" t="str">
        <f t="shared" si="5"/>
        <v/>
      </c>
      <c r="O135" s="9" t="str">
        <f t="shared" si="6"/>
        <v/>
      </c>
      <c r="P135" s="9" t="str">
        <f t="shared" si="7"/>
        <v/>
      </c>
      <c r="Q135" s="9" t="str">
        <f t="shared" si="8"/>
        <v/>
      </c>
      <c r="R135" s="9" t="str">
        <f t="shared" si="9"/>
        <v/>
      </c>
    </row>
    <row r="136">
      <c r="A136" s="1" t="str">
        <f t="shared" si="1"/>
        <v/>
      </c>
      <c r="G136" s="9" t="str">
        <f>IFERROR(__xludf.DUMMYFUNCTION("IF(B136="""","""",ROUND(XLOOKUP(B136, FLATTEN(B$1:E135), FLATTEN(O$1:R135), 500, 0, -1)))"),"")</f>
        <v/>
      </c>
      <c r="H136" s="9" t="str">
        <f>IFERROR(__xludf.DUMMYFUNCTION("IF(C136="""","""",ROUND(XLOOKUP(C136, FLATTEN(B$1:E135), FLATTEN(O$1:R135), 500, 0, -1)))"),"")</f>
        <v/>
      </c>
      <c r="I136" s="9" t="str">
        <f>IFERROR(__xludf.DUMMYFUNCTION("IF(D136="""","""",ROUND(XLOOKUP(D136, FLATTEN(B$1:E135), FLATTEN(O$1:R135), 500, 0, -1)))"),"")</f>
        <v/>
      </c>
      <c r="J136" s="9" t="str">
        <f>IFERROR(__xludf.DUMMYFUNCTION("IF(E136="""","""",ROUND(XLOOKUP(E136, FLATTEN(B$1:E135), FLATTEN(O$1:R135), 500, 0, -1)))"),"")</f>
        <v/>
      </c>
      <c r="K136" s="9" t="str">
        <f t="shared" si="2"/>
        <v/>
      </c>
      <c r="L136" s="9" t="str">
        <f t="shared" si="3"/>
        <v/>
      </c>
      <c r="M136" s="32" t="str">
        <f t="shared" si="4"/>
        <v/>
      </c>
      <c r="N136" s="9" t="str">
        <f t="shared" si="5"/>
        <v/>
      </c>
      <c r="O136" s="9" t="str">
        <f t="shared" si="6"/>
        <v/>
      </c>
      <c r="P136" s="9" t="str">
        <f t="shared" si="7"/>
        <v/>
      </c>
      <c r="Q136" s="9" t="str">
        <f t="shared" si="8"/>
        <v/>
      </c>
      <c r="R136" s="9" t="str">
        <f t="shared" si="9"/>
        <v/>
      </c>
    </row>
    <row r="137">
      <c r="A137" s="1" t="str">
        <f t="shared" si="1"/>
        <v/>
      </c>
      <c r="G137" s="9" t="str">
        <f>IFERROR(__xludf.DUMMYFUNCTION("IF(B137="""","""",ROUND(XLOOKUP(B137, FLATTEN(B$1:E136), FLATTEN(O$1:R136), 500, 0, -1)))"),"")</f>
        <v/>
      </c>
      <c r="H137" s="9" t="str">
        <f>IFERROR(__xludf.DUMMYFUNCTION("IF(C137="""","""",ROUND(XLOOKUP(C137, FLATTEN(B$1:E136), FLATTEN(O$1:R136), 500, 0, -1)))"),"")</f>
        <v/>
      </c>
      <c r="I137" s="9" t="str">
        <f>IFERROR(__xludf.DUMMYFUNCTION("IF(D137="""","""",ROUND(XLOOKUP(D137, FLATTEN(B$1:E136), FLATTEN(O$1:R136), 500, 0, -1)))"),"")</f>
        <v/>
      </c>
      <c r="J137" s="9" t="str">
        <f>IFERROR(__xludf.DUMMYFUNCTION("IF(E137="""","""",ROUND(XLOOKUP(E137, FLATTEN(B$1:E136), FLATTEN(O$1:R136), 500, 0, -1)))"),"")</f>
        <v/>
      </c>
      <c r="K137" s="9" t="str">
        <f t="shared" si="2"/>
        <v/>
      </c>
      <c r="L137" s="9" t="str">
        <f t="shared" si="3"/>
        <v/>
      </c>
      <c r="M137" s="32" t="str">
        <f t="shared" si="4"/>
        <v/>
      </c>
      <c r="N137" s="9" t="str">
        <f t="shared" si="5"/>
        <v/>
      </c>
      <c r="O137" s="9" t="str">
        <f t="shared" si="6"/>
        <v/>
      </c>
      <c r="P137" s="9" t="str">
        <f t="shared" si="7"/>
        <v/>
      </c>
      <c r="Q137" s="9" t="str">
        <f t="shared" si="8"/>
        <v/>
      </c>
      <c r="R137" s="9" t="str">
        <f t="shared" si="9"/>
        <v/>
      </c>
    </row>
    <row r="138">
      <c r="A138" s="1" t="str">
        <f t="shared" si="1"/>
        <v/>
      </c>
      <c r="G138" s="9" t="str">
        <f>IFERROR(__xludf.DUMMYFUNCTION("IF(B138="""","""",ROUND(XLOOKUP(B138, FLATTEN(B$1:E137), FLATTEN(O$1:R137), 500, 0, -1)))"),"")</f>
        <v/>
      </c>
      <c r="H138" s="9" t="str">
        <f>IFERROR(__xludf.DUMMYFUNCTION("IF(C138="""","""",ROUND(XLOOKUP(C138, FLATTEN(B$1:E137), FLATTEN(O$1:R137), 500, 0, -1)))"),"")</f>
        <v/>
      </c>
      <c r="I138" s="9" t="str">
        <f>IFERROR(__xludf.DUMMYFUNCTION("IF(D138="""","""",ROUND(XLOOKUP(D138, FLATTEN(B$1:E137), FLATTEN(O$1:R137), 500, 0, -1)))"),"")</f>
        <v/>
      </c>
      <c r="J138" s="9" t="str">
        <f>IFERROR(__xludf.DUMMYFUNCTION("IF(E138="""","""",ROUND(XLOOKUP(E138, FLATTEN(B$1:E137), FLATTEN(O$1:R137), 500, 0, -1)))"),"")</f>
        <v/>
      </c>
      <c r="K138" s="9" t="str">
        <f t="shared" si="2"/>
        <v/>
      </c>
      <c r="L138" s="9" t="str">
        <f t="shared" si="3"/>
        <v/>
      </c>
      <c r="M138" s="32" t="str">
        <f t="shared" si="4"/>
        <v/>
      </c>
      <c r="N138" s="9" t="str">
        <f t="shared" si="5"/>
        <v/>
      </c>
      <c r="O138" s="9" t="str">
        <f t="shared" si="6"/>
        <v/>
      </c>
      <c r="P138" s="9" t="str">
        <f t="shared" si="7"/>
        <v/>
      </c>
      <c r="Q138" s="9" t="str">
        <f t="shared" si="8"/>
        <v/>
      </c>
      <c r="R138" s="9" t="str">
        <f t="shared" si="9"/>
        <v/>
      </c>
    </row>
    <row r="139">
      <c r="A139" s="1" t="str">
        <f t="shared" si="1"/>
        <v/>
      </c>
      <c r="G139" s="9" t="str">
        <f>IFERROR(__xludf.DUMMYFUNCTION("IF(B139="""","""",ROUND(XLOOKUP(B139, FLATTEN(B$1:E138), FLATTEN(O$1:R138), 500, 0, -1)))"),"")</f>
        <v/>
      </c>
      <c r="H139" s="9" t="str">
        <f>IFERROR(__xludf.DUMMYFUNCTION("IF(C139="""","""",ROUND(XLOOKUP(C139, FLATTEN(B$1:E138), FLATTEN(O$1:R138), 500, 0, -1)))"),"")</f>
        <v/>
      </c>
      <c r="I139" s="9" t="str">
        <f>IFERROR(__xludf.DUMMYFUNCTION("IF(D139="""","""",ROUND(XLOOKUP(D139, FLATTEN(B$1:E138), FLATTEN(O$1:R138), 500, 0, -1)))"),"")</f>
        <v/>
      </c>
      <c r="J139" s="9" t="str">
        <f>IFERROR(__xludf.DUMMYFUNCTION("IF(E139="""","""",ROUND(XLOOKUP(E139, FLATTEN(B$1:E138), FLATTEN(O$1:R138), 500, 0, -1)))"),"")</f>
        <v/>
      </c>
      <c r="K139" s="9" t="str">
        <f t="shared" si="2"/>
        <v/>
      </c>
      <c r="L139" s="9" t="str">
        <f t="shared" si="3"/>
        <v/>
      </c>
      <c r="M139" s="32" t="str">
        <f t="shared" si="4"/>
        <v/>
      </c>
      <c r="N139" s="9" t="str">
        <f t="shared" si="5"/>
        <v/>
      </c>
      <c r="O139" s="9" t="str">
        <f t="shared" si="6"/>
        <v/>
      </c>
      <c r="P139" s="9" t="str">
        <f t="shared" si="7"/>
        <v/>
      </c>
      <c r="Q139" s="9" t="str">
        <f t="shared" si="8"/>
        <v/>
      </c>
      <c r="R139" s="9" t="str">
        <f t="shared" si="9"/>
        <v/>
      </c>
    </row>
    <row r="140">
      <c r="A140" s="1" t="str">
        <f t="shared" si="1"/>
        <v/>
      </c>
      <c r="G140" s="9" t="str">
        <f>IFERROR(__xludf.DUMMYFUNCTION("IF(B140="""","""",ROUND(XLOOKUP(B140, FLATTEN(B$1:E139), FLATTEN(O$1:R139), 500, 0, -1)))"),"")</f>
        <v/>
      </c>
      <c r="H140" s="9" t="str">
        <f>IFERROR(__xludf.DUMMYFUNCTION("IF(C140="""","""",ROUND(XLOOKUP(C140, FLATTEN(B$1:E139), FLATTEN(O$1:R139), 500, 0, -1)))"),"")</f>
        <v/>
      </c>
      <c r="I140" s="9" t="str">
        <f>IFERROR(__xludf.DUMMYFUNCTION("IF(D140="""","""",ROUND(XLOOKUP(D140, FLATTEN(B$1:E139), FLATTEN(O$1:R139), 500, 0, -1)))"),"")</f>
        <v/>
      </c>
      <c r="J140" s="9" t="str">
        <f>IFERROR(__xludf.DUMMYFUNCTION("IF(E140="""","""",ROUND(XLOOKUP(E140, FLATTEN(B$1:E139), FLATTEN(O$1:R139), 500, 0, -1)))"),"")</f>
        <v/>
      </c>
      <c r="K140" s="9" t="str">
        <f t="shared" si="2"/>
        <v/>
      </c>
      <c r="L140" s="9" t="str">
        <f t="shared" si="3"/>
        <v/>
      </c>
      <c r="M140" s="32" t="str">
        <f t="shared" si="4"/>
        <v/>
      </c>
      <c r="N140" s="9" t="str">
        <f t="shared" si="5"/>
        <v/>
      </c>
      <c r="O140" s="9" t="str">
        <f t="shared" si="6"/>
        <v/>
      </c>
      <c r="P140" s="9" t="str">
        <f t="shared" si="7"/>
        <v/>
      </c>
      <c r="Q140" s="9" t="str">
        <f t="shared" si="8"/>
        <v/>
      </c>
      <c r="R140" s="9" t="str">
        <f t="shared" si="9"/>
        <v/>
      </c>
    </row>
    <row r="141">
      <c r="A141" s="1" t="str">
        <f t="shared" si="1"/>
        <v/>
      </c>
      <c r="G141" s="9" t="str">
        <f>IFERROR(__xludf.DUMMYFUNCTION("IF(B141="""","""",ROUND(XLOOKUP(B141, FLATTEN(B$1:E140), FLATTEN(O$1:R140), 500, 0, -1)))"),"")</f>
        <v/>
      </c>
      <c r="H141" s="9" t="str">
        <f>IFERROR(__xludf.DUMMYFUNCTION("IF(C141="""","""",ROUND(XLOOKUP(C141, FLATTEN(B$1:E140), FLATTEN(O$1:R140), 500, 0, -1)))"),"")</f>
        <v/>
      </c>
      <c r="I141" s="9" t="str">
        <f>IFERROR(__xludf.DUMMYFUNCTION("IF(D141="""","""",ROUND(XLOOKUP(D141, FLATTEN(B$1:E140), FLATTEN(O$1:R140), 500, 0, -1)))"),"")</f>
        <v/>
      </c>
      <c r="J141" s="9" t="str">
        <f>IFERROR(__xludf.DUMMYFUNCTION("IF(E141="""","""",ROUND(XLOOKUP(E141, FLATTEN(B$1:E140), FLATTEN(O$1:R140), 500, 0, -1)))"),"")</f>
        <v/>
      </c>
      <c r="K141" s="9" t="str">
        <f t="shared" si="2"/>
        <v/>
      </c>
      <c r="L141" s="9" t="str">
        <f t="shared" si="3"/>
        <v/>
      </c>
      <c r="M141" s="32" t="str">
        <f t="shared" si="4"/>
        <v/>
      </c>
      <c r="N141" s="9" t="str">
        <f t="shared" si="5"/>
        <v/>
      </c>
      <c r="O141" s="9" t="str">
        <f t="shared" si="6"/>
        <v/>
      </c>
      <c r="P141" s="9" t="str">
        <f t="shared" si="7"/>
        <v/>
      </c>
      <c r="Q141" s="9" t="str">
        <f t="shared" si="8"/>
        <v/>
      </c>
      <c r="R141" s="9" t="str">
        <f t="shared" si="9"/>
        <v/>
      </c>
    </row>
    <row r="142">
      <c r="A142" s="1" t="str">
        <f t="shared" si="1"/>
        <v/>
      </c>
      <c r="G142" s="9" t="str">
        <f>IFERROR(__xludf.DUMMYFUNCTION("IF(B142="""","""",ROUND(XLOOKUP(B142, FLATTEN(B$1:E141), FLATTEN(O$1:R141), 500, 0, -1)))"),"")</f>
        <v/>
      </c>
      <c r="H142" s="9" t="str">
        <f>IFERROR(__xludf.DUMMYFUNCTION("IF(C142="""","""",ROUND(XLOOKUP(C142, FLATTEN(B$1:E141), FLATTEN(O$1:R141), 500, 0, -1)))"),"")</f>
        <v/>
      </c>
      <c r="I142" s="9" t="str">
        <f>IFERROR(__xludf.DUMMYFUNCTION("IF(D142="""","""",ROUND(XLOOKUP(D142, FLATTEN(B$1:E141), FLATTEN(O$1:R141), 500, 0, -1)))"),"")</f>
        <v/>
      </c>
      <c r="J142" s="9" t="str">
        <f>IFERROR(__xludf.DUMMYFUNCTION("IF(E142="""","""",ROUND(XLOOKUP(E142, FLATTEN(B$1:E141), FLATTEN(O$1:R141), 500, 0, -1)))"),"")</f>
        <v/>
      </c>
      <c r="K142" s="9" t="str">
        <f t="shared" si="2"/>
        <v/>
      </c>
      <c r="L142" s="9" t="str">
        <f t="shared" si="3"/>
        <v/>
      </c>
      <c r="M142" s="32" t="str">
        <f t="shared" si="4"/>
        <v/>
      </c>
      <c r="N142" s="9" t="str">
        <f t="shared" si="5"/>
        <v/>
      </c>
      <c r="O142" s="9" t="str">
        <f t="shared" si="6"/>
        <v/>
      </c>
      <c r="P142" s="9" t="str">
        <f t="shared" si="7"/>
        <v/>
      </c>
      <c r="Q142" s="9" t="str">
        <f t="shared" si="8"/>
        <v/>
      </c>
      <c r="R142" s="9" t="str">
        <f t="shared" si="9"/>
        <v/>
      </c>
    </row>
    <row r="143">
      <c r="A143" s="1" t="str">
        <f t="shared" si="1"/>
        <v/>
      </c>
      <c r="G143" s="9" t="str">
        <f>IFERROR(__xludf.DUMMYFUNCTION("IF(B143="""","""",ROUND(XLOOKUP(B143, FLATTEN(B$1:E142), FLATTEN(O$1:R142), 500, 0, -1)))"),"")</f>
        <v/>
      </c>
      <c r="H143" s="9" t="str">
        <f>IFERROR(__xludf.DUMMYFUNCTION("IF(C143="""","""",ROUND(XLOOKUP(C143, FLATTEN(B$1:E142), FLATTEN(O$1:R142), 500, 0, -1)))"),"")</f>
        <v/>
      </c>
      <c r="I143" s="9" t="str">
        <f>IFERROR(__xludf.DUMMYFUNCTION("IF(D143="""","""",ROUND(XLOOKUP(D143, FLATTEN(B$1:E142), FLATTEN(O$1:R142), 500, 0, -1)))"),"")</f>
        <v/>
      </c>
      <c r="J143" s="9" t="str">
        <f>IFERROR(__xludf.DUMMYFUNCTION("IF(E143="""","""",ROUND(XLOOKUP(E143, FLATTEN(B$1:E142), FLATTEN(O$1:R142), 500, 0, -1)))"),"")</f>
        <v/>
      </c>
      <c r="K143" s="9" t="str">
        <f t="shared" si="2"/>
        <v/>
      </c>
      <c r="L143" s="9" t="str">
        <f t="shared" si="3"/>
        <v/>
      </c>
      <c r="M143" s="32" t="str">
        <f t="shared" si="4"/>
        <v/>
      </c>
      <c r="N143" s="9" t="str">
        <f t="shared" si="5"/>
        <v/>
      </c>
      <c r="O143" s="9" t="str">
        <f t="shared" si="6"/>
        <v/>
      </c>
      <c r="P143" s="9" t="str">
        <f t="shared" si="7"/>
        <v/>
      </c>
      <c r="Q143" s="9" t="str">
        <f t="shared" si="8"/>
        <v/>
      </c>
      <c r="R143" s="9" t="str">
        <f t="shared" si="9"/>
        <v/>
      </c>
    </row>
    <row r="144">
      <c r="A144" s="1" t="str">
        <f t="shared" si="1"/>
        <v/>
      </c>
      <c r="G144" s="9" t="str">
        <f>IFERROR(__xludf.DUMMYFUNCTION("IF(B144="""","""",ROUND(XLOOKUP(B144, FLATTEN(B$1:E143), FLATTEN(O$1:R143), 500, 0, -1)))"),"")</f>
        <v/>
      </c>
      <c r="H144" s="9" t="str">
        <f>IFERROR(__xludf.DUMMYFUNCTION("IF(C144="""","""",ROUND(XLOOKUP(C144, FLATTEN(B$1:E143), FLATTEN(O$1:R143), 500, 0, -1)))"),"")</f>
        <v/>
      </c>
      <c r="I144" s="9" t="str">
        <f>IFERROR(__xludf.DUMMYFUNCTION("IF(D144="""","""",ROUND(XLOOKUP(D144, FLATTEN(B$1:E143), FLATTEN(O$1:R143), 500, 0, -1)))"),"")</f>
        <v/>
      </c>
      <c r="J144" s="9" t="str">
        <f>IFERROR(__xludf.DUMMYFUNCTION("IF(E144="""","""",ROUND(XLOOKUP(E144, FLATTEN(B$1:E143), FLATTEN(O$1:R143), 500, 0, -1)))"),"")</f>
        <v/>
      </c>
      <c r="K144" s="9" t="str">
        <f t="shared" si="2"/>
        <v/>
      </c>
      <c r="L144" s="9" t="str">
        <f t="shared" si="3"/>
        <v/>
      </c>
      <c r="M144" s="32" t="str">
        <f t="shared" si="4"/>
        <v/>
      </c>
      <c r="N144" s="9" t="str">
        <f t="shared" si="5"/>
        <v/>
      </c>
      <c r="O144" s="9" t="str">
        <f t="shared" si="6"/>
        <v/>
      </c>
      <c r="P144" s="9" t="str">
        <f t="shared" si="7"/>
        <v/>
      </c>
      <c r="Q144" s="9" t="str">
        <f t="shared" si="8"/>
        <v/>
      </c>
      <c r="R144" s="9" t="str">
        <f t="shared" si="9"/>
        <v/>
      </c>
    </row>
    <row r="145">
      <c r="A145" s="1" t="str">
        <f t="shared" si="1"/>
        <v/>
      </c>
      <c r="G145" s="9" t="str">
        <f>IFERROR(__xludf.DUMMYFUNCTION("IF(B145="""","""",ROUND(XLOOKUP(B145, FLATTEN(B$1:E144), FLATTEN(O$1:R144), 500, 0, -1)))"),"")</f>
        <v/>
      </c>
      <c r="H145" s="9" t="str">
        <f>IFERROR(__xludf.DUMMYFUNCTION("IF(C145="""","""",ROUND(XLOOKUP(C145, FLATTEN(B$1:E144), FLATTEN(O$1:R144), 500, 0, -1)))"),"")</f>
        <v/>
      </c>
      <c r="I145" s="9" t="str">
        <f>IFERROR(__xludf.DUMMYFUNCTION("IF(D145="""","""",ROUND(XLOOKUP(D145, FLATTEN(B$1:E144), FLATTEN(O$1:R144), 500, 0, -1)))"),"")</f>
        <v/>
      </c>
      <c r="J145" s="9" t="str">
        <f>IFERROR(__xludf.DUMMYFUNCTION("IF(E145="""","""",ROUND(XLOOKUP(E145, FLATTEN(B$1:E144), FLATTEN(O$1:R144), 500, 0, -1)))"),"")</f>
        <v/>
      </c>
      <c r="K145" s="9" t="str">
        <f t="shared" si="2"/>
        <v/>
      </c>
      <c r="L145" s="9" t="str">
        <f t="shared" si="3"/>
        <v/>
      </c>
      <c r="M145" s="32" t="str">
        <f t="shared" si="4"/>
        <v/>
      </c>
      <c r="N145" s="9" t="str">
        <f t="shared" si="5"/>
        <v/>
      </c>
      <c r="O145" s="9" t="str">
        <f t="shared" si="6"/>
        <v/>
      </c>
      <c r="P145" s="9" t="str">
        <f t="shared" si="7"/>
        <v/>
      </c>
      <c r="Q145" s="9" t="str">
        <f t="shared" si="8"/>
        <v/>
      </c>
      <c r="R145" s="9" t="str">
        <f t="shared" si="9"/>
        <v/>
      </c>
    </row>
    <row r="146">
      <c r="A146" s="1" t="str">
        <f t="shared" si="1"/>
        <v/>
      </c>
      <c r="G146" s="9" t="str">
        <f>IFERROR(__xludf.DUMMYFUNCTION("IF(B146="""","""",ROUND(XLOOKUP(B146, FLATTEN(B$1:E145), FLATTEN(O$1:R145), 500, 0, -1)))"),"")</f>
        <v/>
      </c>
      <c r="H146" s="9" t="str">
        <f>IFERROR(__xludf.DUMMYFUNCTION("IF(C146="""","""",ROUND(XLOOKUP(C146, FLATTEN(B$1:E145), FLATTEN(O$1:R145), 500, 0, -1)))"),"")</f>
        <v/>
      </c>
      <c r="I146" s="9" t="str">
        <f>IFERROR(__xludf.DUMMYFUNCTION("IF(D146="""","""",ROUND(XLOOKUP(D146, FLATTEN(B$1:E145), FLATTEN(O$1:R145), 500, 0, -1)))"),"")</f>
        <v/>
      </c>
      <c r="J146" s="9" t="str">
        <f>IFERROR(__xludf.DUMMYFUNCTION("IF(E146="""","""",ROUND(XLOOKUP(E146, FLATTEN(B$1:E145), FLATTEN(O$1:R145), 500, 0, -1)))"),"")</f>
        <v/>
      </c>
      <c r="K146" s="9" t="str">
        <f t="shared" si="2"/>
        <v/>
      </c>
      <c r="L146" s="9" t="str">
        <f t="shared" si="3"/>
        <v/>
      </c>
      <c r="M146" s="32" t="str">
        <f t="shared" si="4"/>
        <v/>
      </c>
      <c r="N146" s="9" t="str">
        <f t="shared" si="5"/>
        <v/>
      </c>
      <c r="O146" s="9" t="str">
        <f t="shared" si="6"/>
        <v/>
      </c>
      <c r="P146" s="9" t="str">
        <f t="shared" si="7"/>
        <v/>
      </c>
      <c r="Q146" s="9" t="str">
        <f t="shared" si="8"/>
        <v/>
      </c>
      <c r="R146" s="9" t="str">
        <f t="shared" si="9"/>
        <v/>
      </c>
    </row>
    <row r="147">
      <c r="A147" s="1" t="str">
        <f t="shared" si="1"/>
        <v/>
      </c>
      <c r="G147" s="9" t="str">
        <f>IFERROR(__xludf.DUMMYFUNCTION("IF(B147="""","""",ROUND(XLOOKUP(B147, FLATTEN(B$1:E146), FLATTEN(O$1:R146), 500, 0, -1)))"),"")</f>
        <v/>
      </c>
      <c r="H147" s="9" t="str">
        <f>IFERROR(__xludf.DUMMYFUNCTION("IF(C147="""","""",ROUND(XLOOKUP(C147, FLATTEN(B$1:E146), FLATTEN(O$1:R146), 500, 0, -1)))"),"")</f>
        <v/>
      </c>
      <c r="I147" s="9" t="str">
        <f>IFERROR(__xludf.DUMMYFUNCTION("IF(D147="""","""",ROUND(XLOOKUP(D147, FLATTEN(B$1:E146), FLATTEN(O$1:R146), 500, 0, -1)))"),"")</f>
        <v/>
      </c>
      <c r="J147" s="9" t="str">
        <f>IFERROR(__xludf.DUMMYFUNCTION("IF(E147="""","""",ROUND(XLOOKUP(E147, FLATTEN(B$1:E146), FLATTEN(O$1:R146), 500, 0, -1)))"),"")</f>
        <v/>
      </c>
      <c r="K147" s="9" t="str">
        <f t="shared" si="2"/>
        <v/>
      </c>
      <c r="L147" s="9" t="str">
        <f t="shared" si="3"/>
        <v/>
      </c>
      <c r="M147" s="32" t="str">
        <f t="shared" si="4"/>
        <v/>
      </c>
      <c r="N147" s="9" t="str">
        <f t="shared" si="5"/>
        <v/>
      </c>
      <c r="O147" s="9" t="str">
        <f t="shared" si="6"/>
        <v/>
      </c>
      <c r="P147" s="9" t="str">
        <f t="shared" si="7"/>
        <v/>
      </c>
      <c r="Q147" s="9" t="str">
        <f t="shared" si="8"/>
        <v/>
      </c>
      <c r="R147" s="9" t="str">
        <f t="shared" si="9"/>
        <v/>
      </c>
    </row>
    <row r="148">
      <c r="A148" s="1" t="str">
        <f t="shared" si="1"/>
        <v/>
      </c>
      <c r="G148" s="9" t="str">
        <f>IFERROR(__xludf.DUMMYFUNCTION("IF(B148="""","""",ROUND(XLOOKUP(B148, FLATTEN(B$1:E147), FLATTEN(O$1:R147), 500, 0, -1)))"),"")</f>
        <v/>
      </c>
      <c r="H148" s="9" t="str">
        <f>IFERROR(__xludf.DUMMYFUNCTION("IF(C148="""","""",ROUND(XLOOKUP(C148, FLATTEN(B$1:E147), FLATTEN(O$1:R147), 500, 0, -1)))"),"")</f>
        <v/>
      </c>
      <c r="I148" s="9" t="str">
        <f>IFERROR(__xludf.DUMMYFUNCTION("IF(D148="""","""",ROUND(XLOOKUP(D148, FLATTEN(B$1:E147), FLATTEN(O$1:R147), 500, 0, -1)))"),"")</f>
        <v/>
      </c>
      <c r="J148" s="9" t="str">
        <f>IFERROR(__xludf.DUMMYFUNCTION("IF(E148="""","""",ROUND(XLOOKUP(E148, FLATTEN(B$1:E147), FLATTEN(O$1:R147), 500, 0, -1)))"),"")</f>
        <v/>
      </c>
      <c r="K148" s="9" t="str">
        <f t="shared" si="2"/>
        <v/>
      </c>
      <c r="L148" s="9" t="str">
        <f t="shared" si="3"/>
        <v/>
      </c>
      <c r="M148" s="32" t="str">
        <f t="shared" si="4"/>
        <v/>
      </c>
      <c r="N148" s="9" t="str">
        <f t="shared" si="5"/>
        <v/>
      </c>
      <c r="O148" s="9" t="str">
        <f t="shared" si="6"/>
        <v/>
      </c>
      <c r="P148" s="9" t="str">
        <f t="shared" si="7"/>
        <v/>
      </c>
      <c r="Q148" s="9" t="str">
        <f t="shared" si="8"/>
        <v/>
      </c>
      <c r="R148" s="9" t="str">
        <f t="shared" si="9"/>
        <v/>
      </c>
    </row>
    <row r="149">
      <c r="A149" s="1" t="str">
        <f t="shared" si="1"/>
        <v/>
      </c>
      <c r="G149" s="9" t="str">
        <f>IFERROR(__xludf.DUMMYFUNCTION("IF(B149="""","""",ROUND(XLOOKUP(B149, FLATTEN(B$1:E148), FLATTEN(O$1:R148), 500, 0, -1)))"),"")</f>
        <v/>
      </c>
      <c r="H149" s="9" t="str">
        <f>IFERROR(__xludf.DUMMYFUNCTION("IF(C149="""","""",ROUND(XLOOKUP(C149, FLATTEN(B$1:E148), FLATTEN(O$1:R148), 500, 0, -1)))"),"")</f>
        <v/>
      </c>
      <c r="I149" s="9" t="str">
        <f>IFERROR(__xludf.DUMMYFUNCTION("IF(D149="""","""",ROUND(XLOOKUP(D149, FLATTEN(B$1:E148), FLATTEN(O$1:R148), 500, 0, -1)))"),"")</f>
        <v/>
      </c>
      <c r="J149" s="9" t="str">
        <f>IFERROR(__xludf.DUMMYFUNCTION("IF(E149="""","""",ROUND(XLOOKUP(E149, FLATTEN(B$1:E148), FLATTEN(O$1:R148), 500, 0, -1)))"),"")</f>
        <v/>
      </c>
      <c r="K149" s="9" t="str">
        <f t="shared" si="2"/>
        <v/>
      </c>
      <c r="L149" s="9" t="str">
        <f t="shared" si="3"/>
        <v/>
      </c>
      <c r="M149" s="32" t="str">
        <f t="shared" si="4"/>
        <v/>
      </c>
      <c r="N149" s="9" t="str">
        <f t="shared" si="5"/>
        <v/>
      </c>
      <c r="O149" s="9" t="str">
        <f t="shared" si="6"/>
        <v/>
      </c>
      <c r="P149" s="9" t="str">
        <f t="shared" si="7"/>
        <v/>
      </c>
      <c r="Q149" s="9" t="str">
        <f t="shared" si="8"/>
        <v/>
      </c>
      <c r="R149" s="9" t="str">
        <f t="shared" si="9"/>
        <v/>
      </c>
    </row>
    <row r="150">
      <c r="A150" s="1" t="str">
        <f t="shared" si="1"/>
        <v/>
      </c>
      <c r="G150" s="9" t="str">
        <f>IFERROR(__xludf.DUMMYFUNCTION("IF(B150="""","""",ROUND(XLOOKUP(B150, FLATTEN(B$1:E149), FLATTEN(O$1:R149), 500, 0, -1)))"),"")</f>
        <v/>
      </c>
      <c r="H150" s="9" t="str">
        <f>IFERROR(__xludf.DUMMYFUNCTION("IF(C150="""","""",ROUND(XLOOKUP(C150, FLATTEN(B$1:E149), FLATTEN(O$1:R149), 500, 0, -1)))"),"")</f>
        <v/>
      </c>
      <c r="I150" s="9" t="str">
        <f>IFERROR(__xludf.DUMMYFUNCTION("IF(D150="""","""",ROUND(XLOOKUP(D150, FLATTEN(B$1:E149), FLATTEN(O$1:R149), 500, 0, -1)))"),"")</f>
        <v/>
      </c>
      <c r="J150" s="9" t="str">
        <f>IFERROR(__xludf.DUMMYFUNCTION("IF(E150="""","""",ROUND(XLOOKUP(E150, FLATTEN(B$1:E149), FLATTEN(O$1:R149), 500, 0, -1)))"),"")</f>
        <v/>
      </c>
      <c r="K150" s="9" t="str">
        <f t="shared" si="2"/>
        <v/>
      </c>
      <c r="L150" s="9" t="str">
        <f t="shared" si="3"/>
        <v/>
      </c>
      <c r="M150" s="32" t="str">
        <f t="shared" si="4"/>
        <v/>
      </c>
      <c r="N150" s="9" t="str">
        <f t="shared" si="5"/>
        <v/>
      </c>
      <c r="O150" s="9" t="str">
        <f t="shared" si="6"/>
        <v/>
      </c>
      <c r="P150" s="9" t="str">
        <f t="shared" si="7"/>
        <v/>
      </c>
      <c r="Q150" s="9" t="str">
        <f t="shared" si="8"/>
        <v/>
      </c>
      <c r="R150" s="9" t="str">
        <f t="shared" si="9"/>
        <v/>
      </c>
    </row>
    <row r="151">
      <c r="A151" s="1" t="str">
        <f t="shared" si="1"/>
        <v/>
      </c>
      <c r="G151" s="9" t="str">
        <f>IFERROR(__xludf.DUMMYFUNCTION("IF(B151="""","""",ROUND(XLOOKUP(B151, FLATTEN(B$1:E150), FLATTEN(O$1:R150), 500, 0, -1)))"),"")</f>
        <v/>
      </c>
      <c r="H151" s="9" t="str">
        <f>IFERROR(__xludf.DUMMYFUNCTION("IF(C151="""","""",ROUND(XLOOKUP(C151, FLATTEN(B$1:E150), FLATTEN(O$1:R150), 500, 0, -1)))"),"")</f>
        <v/>
      </c>
      <c r="I151" s="9" t="str">
        <f>IFERROR(__xludf.DUMMYFUNCTION("IF(D151="""","""",ROUND(XLOOKUP(D151, FLATTEN(B$1:E150), FLATTEN(O$1:R150), 500, 0, -1)))"),"")</f>
        <v/>
      </c>
      <c r="J151" s="9" t="str">
        <f>IFERROR(__xludf.DUMMYFUNCTION("IF(E151="""","""",ROUND(XLOOKUP(E151, FLATTEN(B$1:E150), FLATTEN(O$1:R150), 500, 0, -1)))"),"")</f>
        <v/>
      </c>
      <c r="K151" s="9" t="str">
        <f t="shared" si="2"/>
        <v/>
      </c>
      <c r="L151" s="9" t="str">
        <f t="shared" si="3"/>
        <v/>
      </c>
      <c r="M151" s="32" t="str">
        <f t="shared" si="4"/>
        <v/>
      </c>
      <c r="N151" s="9" t="str">
        <f t="shared" si="5"/>
        <v/>
      </c>
      <c r="O151" s="9" t="str">
        <f t="shared" si="6"/>
        <v/>
      </c>
      <c r="P151" s="9" t="str">
        <f t="shared" si="7"/>
        <v/>
      </c>
      <c r="Q151" s="9" t="str">
        <f t="shared" si="8"/>
        <v/>
      </c>
      <c r="R151" s="9" t="str">
        <f t="shared" si="9"/>
        <v/>
      </c>
    </row>
    <row r="152">
      <c r="A152" s="1" t="str">
        <f t="shared" si="1"/>
        <v/>
      </c>
      <c r="G152" s="9" t="str">
        <f>IFERROR(__xludf.DUMMYFUNCTION("IF(B152="""","""",ROUND(XLOOKUP(B152, FLATTEN(B$1:E151), FLATTEN(O$1:R151), 500, 0, -1)))"),"")</f>
        <v/>
      </c>
      <c r="H152" s="9" t="str">
        <f>IFERROR(__xludf.DUMMYFUNCTION("IF(C152="""","""",ROUND(XLOOKUP(C152, FLATTEN(B$1:E151), FLATTEN(O$1:R151), 500, 0, -1)))"),"")</f>
        <v/>
      </c>
      <c r="I152" s="9" t="str">
        <f>IFERROR(__xludf.DUMMYFUNCTION("IF(D152="""","""",ROUND(XLOOKUP(D152, FLATTEN(B$1:E151), FLATTEN(O$1:R151), 500, 0, -1)))"),"")</f>
        <v/>
      </c>
      <c r="J152" s="9" t="str">
        <f>IFERROR(__xludf.DUMMYFUNCTION("IF(E152="""","""",ROUND(XLOOKUP(E152, FLATTEN(B$1:E151), FLATTEN(O$1:R151), 500, 0, -1)))"),"")</f>
        <v/>
      </c>
      <c r="K152" s="9" t="str">
        <f t="shared" si="2"/>
        <v/>
      </c>
      <c r="L152" s="9" t="str">
        <f t="shared" si="3"/>
        <v/>
      </c>
      <c r="M152" s="32" t="str">
        <f t="shared" si="4"/>
        <v/>
      </c>
      <c r="N152" s="9" t="str">
        <f t="shared" si="5"/>
        <v/>
      </c>
      <c r="O152" s="9" t="str">
        <f t="shared" si="6"/>
        <v/>
      </c>
      <c r="P152" s="9" t="str">
        <f t="shared" si="7"/>
        <v/>
      </c>
      <c r="Q152" s="9" t="str">
        <f t="shared" si="8"/>
        <v/>
      </c>
      <c r="R152" s="9" t="str">
        <f t="shared" si="9"/>
        <v/>
      </c>
    </row>
    <row r="153">
      <c r="A153" s="1" t="str">
        <f t="shared" si="1"/>
        <v/>
      </c>
      <c r="G153" s="9" t="str">
        <f>IFERROR(__xludf.DUMMYFUNCTION("IF(B153="""","""",ROUND(XLOOKUP(B153, FLATTEN(B$1:E152), FLATTEN(O$1:R152), 500, 0, -1)))"),"")</f>
        <v/>
      </c>
      <c r="H153" s="9" t="str">
        <f>IFERROR(__xludf.DUMMYFUNCTION("IF(C153="""","""",ROUND(XLOOKUP(C153, FLATTEN(B$1:E152), FLATTEN(O$1:R152), 500, 0, -1)))"),"")</f>
        <v/>
      </c>
      <c r="I153" s="9" t="str">
        <f>IFERROR(__xludf.DUMMYFUNCTION("IF(D153="""","""",ROUND(XLOOKUP(D153, FLATTEN(B$1:E152), FLATTEN(O$1:R152), 500, 0, -1)))"),"")</f>
        <v/>
      </c>
      <c r="J153" s="9" t="str">
        <f>IFERROR(__xludf.DUMMYFUNCTION("IF(E153="""","""",ROUND(XLOOKUP(E153, FLATTEN(B$1:E152), FLATTEN(O$1:R152), 500, 0, -1)))"),"")</f>
        <v/>
      </c>
      <c r="K153" s="9" t="str">
        <f t="shared" si="2"/>
        <v/>
      </c>
      <c r="L153" s="9" t="str">
        <f t="shared" si="3"/>
        <v/>
      </c>
      <c r="M153" s="32" t="str">
        <f t="shared" si="4"/>
        <v/>
      </c>
      <c r="N153" s="9" t="str">
        <f t="shared" si="5"/>
        <v/>
      </c>
      <c r="O153" s="9" t="str">
        <f t="shared" si="6"/>
        <v/>
      </c>
      <c r="P153" s="9" t="str">
        <f t="shared" si="7"/>
        <v/>
      </c>
      <c r="Q153" s="9" t="str">
        <f t="shared" si="8"/>
        <v/>
      </c>
      <c r="R153" s="9" t="str">
        <f t="shared" si="9"/>
        <v/>
      </c>
    </row>
    <row r="154">
      <c r="A154" s="1" t="str">
        <f t="shared" si="1"/>
        <v/>
      </c>
      <c r="G154" s="9" t="str">
        <f>IFERROR(__xludf.DUMMYFUNCTION("IF(B154="""","""",ROUND(XLOOKUP(B154, FLATTEN(B$1:E153), FLATTEN(O$1:R153), 500, 0, -1)))"),"")</f>
        <v/>
      </c>
      <c r="H154" s="9" t="str">
        <f>IFERROR(__xludf.DUMMYFUNCTION("IF(C154="""","""",ROUND(XLOOKUP(C154, FLATTEN(B$1:E153), FLATTEN(O$1:R153), 500, 0, -1)))"),"")</f>
        <v/>
      </c>
      <c r="I154" s="9" t="str">
        <f>IFERROR(__xludf.DUMMYFUNCTION("IF(D154="""","""",ROUND(XLOOKUP(D154, FLATTEN(B$1:E153), FLATTEN(O$1:R153), 500, 0, -1)))"),"")</f>
        <v/>
      </c>
      <c r="J154" s="9" t="str">
        <f>IFERROR(__xludf.DUMMYFUNCTION("IF(E154="""","""",ROUND(XLOOKUP(E154, FLATTEN(B$1:E153), FLATTEN(O$1:R153), 500, 0, -1)))"),"")</f>
        <v/>
      </c>
      <c r="K154" s="9" t="str">
        <f t="shared" si="2"/>
        <v/>
      </c>
      <c r="L154" s="9" t="str">
        <f t="shared" si="3"/>
        <v/>
      </c>
      <c r="M154" s="32" t="str">
        <f t="shared" si="4"/>
        <v/>
      </c>
      <c r="N154" s="9" t="str">
        <f t="shared" si="5"/>
        <v/>
      </c>
      <c r="O154" s="9" t="str">
        <f t="shared" si="6"/>
        <v/>
      </c>
      <c r="P154" s="9" t="str">
        <f t="shared" si="7"/>
        <v/>
      </c>
      <c r="Q154" s="9" t="str">
        <f t="shared" si="8"/>
        <v/>
      </c>
      <c r="R154" s="9" t="str">
        <f t="shared" si="9"/>
        <v/>
      </c>
    </row>
    <row r="155">
      <c r="A155" s="1" t="str">
        <f t="shared" si="1"/>
        <v/>
      </c>
      <c r="G155" s="9" t="str">
        <f>IFERROR(__xludf.DUMMYFUNCTION("IF(B155="""","""",ROUND(XLOOKUP(B155, FLATTEN(B$1:E154), FLATTEN(O$1:R154), 500, 0, -1)))"),"")</f>
        <v/>
      </c>
      <c r="H155" s="9" t="str">
        <f>IFERROR(__xludf.DUMMYFUNCTION("IF(C155="""","""",ROUND(XLOOKUP(C155, FLATTEN(B$1:E154), FLATTEN(O$1:R154), 500, 0, -1)))"),"")</f>
        <v/>
      </c>
      <c r="I155" s="9" t="str">
        <f>IFERROR(__xludf.DUMMYFUNCTION("IF(D155="""","""",ROUND(XLOOKUP(D155, FLATTEN(B$1:E154), FLATTEN(O$1:R154), 500, 0, -1)))"),"")</f>
        <v/>
      </c>
      <c r="J155" s="9" t="str">
        <f>IFERROR(__xludf.DUMMYFUNCTION("IF(E155="""","""",ROUND(XLOOKUP(E155, FLATTEN(B$1:E154), FLATTEN(O$1:R154), 500, 0, -1)))"),"")</f>
        <v/>
      </c>
      <c r="K155" s="9" t="str">
        <f t="shared" si="2"/>
        <v/>
      </c>
      <c r="L155" s="9" t="str">
        <f t="shared" si="3"/>
        <v/>
      </c>
      <c r="M155" s="32" t="str">
        <f t="shared" si="4"/>
        <v/>
      </c>
      <c r="N155" s="9" t="str">
        <f t="shared" si="5"/>
        <v/>
      </c>
      <c r="O155" s="9" t="str">
        <f t="shared" si="6"/>
        <v/>
      </c>
      <c r="P155" s="9" t="str">
        <f t="shared" si="7"/>
        <v/>
      </c>
      <c r="Q155" s="9" t="str">
        <f t="shared" si="8"/>
        <v/>
      </c>
      <c r="R155" s="9" t="str">
        <f t="shared" si="9"/>
        <v/>
      </c>
    </row>
    <row r="156">
      <c r="A156" s="1" t="str">
        <f t="shared" si="1"/>
        <v/>
      </c>
      <c r="G156" s="9" t="str">
        <f>IFERROR(__xludf.DUMMYFUNCTION("IF(B156="""","""",ROUND(XLOOKUP(B156, FLATTEN(B$1:E155), FLATTEN(O$1:R155), 500, 0, -1)))"),"")</f>
        <v/>
      </c>
      <c r="H156" s="9" t="str">
        <f>IFERROR(__xludf.DUMMYFUNCTION("IF(C156="""","""",ROUND(XLOOKUP(C156, FLATTEN(B$1:E155), FLATTEN(O$1:R155), 500, 0, -1)))"),"")</f>
        <v/>
      </c>
      <c r="I156" s="9" t="str">
        <f>IFERROR(__xludf.DUMMYFUNCTION("IF(D156="""","""",ROUND(XLOOKUP(D156, FLATTEN(B$1:E155), FLATTEN(O$1:R155), 500, 0, -1)))"),"")</f>
        <v/>
      </c>
      <c r="J156" s="9" t="str">
        <f>IFERROR(__xludf.DUMMYFUNCTION("IF(E156="""","""",ROUND(XLOOKUP(E156, FLATTEN(B$1:E155), FLATTEN(O$1:R155), 500, 0, -1)))"),"")</f>
        <v/>
      </c>
      <c r="K156" s="9" t="str">
        <f t="shared" si="2"/>
        <v/>
      </c>
      <c r="L156" s="9" t="str">
        <f t="shared" si="3"/>
        <v/>
      </c>
      <c r="M156" s="32" t="str">
        <f t="shared" si="4"/>
        <v/>
      </c>
      <c r="N156" s="9" t="str">
        <f t="shared" si="5"/>
        <v/>
      </c>
      <c r="O156" s="9" t="str">
        <f t="shared" si="6"/>
        <v/>
      </c>
      <c r="P156" s="9" t="str">
        <f t="shared" si="7"/>
        <v/>
      </c>
      <c r="Q156" s="9" t="str">
        <f t="shared" si="8"/>
        <v/>
      </c>
      <c r="R156" s="9" t="str">
        <f t="shared" si="9"/>
        <v/>
      </c>
    </row>
    <row r="157">
      <c r="A157" s="1" t="str">
        <f t="shared" si="1"/>
        <v/>
      </c>
      <c r="G157" s="9" t="str">
        <f>IFERROR(__xludf.DUMMYFUNCTION("IF(B157="""","""",ROUND(XLOOKUP(B157, FLATTEN(B$1:E156), FLATTEN(O$1:R156), 500, 0, -1)))"),"")</f>
        <v/>
      </c>
      <c r="H157" s="9" t="str">
        <f>IFERROR(__xludf.DUMMYFUNCTION("IF(C157="""","""",ROUND(XLOOKUP(C157, FLATTEN(B$1:E156), FLATTEN(O$1:R156), 500, 0, -1)))"),"")</f>
        <v/>
      </c>
      <c r="I157" s="9" t="str">
        <f>IFERROR(__xludf.DUMMYFUNCTION("IF(D157="""","""",ROUND(XLOOKUP(D157, FLATTEN(B$1:E156), FLATTEN(O$1:R156), 500, 0, -1)))"),"")</f>
        <v/>
      </c>
      <c r="J157" s="9" t="str">
        <f>IFERROR(__xludf.DUMMYFUNCTION("IF(E157="""","""",ROUND(XLOOKUP(E157, FLATTEN(B$1:E156), FLATTEN(O$1:R156), 500, 0, -1)))"),"")</f>
        <v/>
      </c>
      <c r="K157" s="9" t="str">
        <f t="shared" si="2"/>
        <v/>
      </c>
      <c r="L157" s="9" t="str">
        <f t="shared" si="3"/>
        <v/>
      </c>
      <c r="M157" s="32" t="str">
        <f t="shared" si="4"/>
        <v/>
      </c>
      <c r="N157" s="9" t="str">
        <f t="shared" si="5"/>
        <v/>
      </c>
      <c r="O157" s="9" t="str">
        <f t="shared" si="6"/>
        <v/>
      </c>
      <c r="P157" s="9" t="str">
        <f t="shared" si="7"/>
        <v/>
      </c>
      <c r="Q157" s="9" t="str">
        <f t="shared" si="8"/>
        <v/>
      </c>
      <c r="R157" s="9" t="str">
        <f t="shared" si="9"/>
        <v/>
      </c>
    </row>
    <row r="158">
      <c r="A158" s="1" t="str">
        <f t="shared" si="1"/>
        <v/>
      </c>
      <c r="G158" s="9" t="str">
        <f>IFERROR(__xludf.DUMMYFUNCTION("IF(B158="""","""",ROUND(XLOOKUP(B158, FLATTEN(B$1:E157), FLATTEN(O$1:R157), 500, 0, -1)))"),"")</f>
        <v/>
      </c>
      <c r="H158" s="9" t="str">
        <f>IFERROR(__xludf.DUMMYFUNCTION("IF(C158="""","""",ROUND(XLOOKUP(C158, FLATTEN(B$1:E157), FLATTEN(O$1:R157), 500, 0, -1)))"),"")</f>
        <v/>
      </c>
      <c r="I158" s="9" t="str">
        <f>IFERROR(__xludf.DUMMYFUNCTION("IF(D158="""","""",ROUND(XLOOKUP(D158, FLATTEN(B$1:E157), FLATTEN(O$1:R157), 500, 0, -1)))"),"")</f>
        <v/>
      </c>
      <c r="J158" s="9" t="str">
        <f>IFERROR(__xludf.DUMMYFUNCTION("IF(E158="""","""",ROUND(XLOOKUP(E158, FLATTEN(B$1:E157), FLATTEN(O$1:R157), 500, 0, -1)))"),"")</f>
        <v/>
      </c>
      <c r="K158" s="9" t="str">
        <f t="shared" si="2"/>
        <v/>
      </c>
      <c r="L158" s="9" t="str">
        <f t="shared" si="3"/>
        <v/>
      </c>
      <c r="M158" s="32" t="str">
        <f t="shared" si="4"/>
        <v/>
      </c>
      <c r="N158" s="9" t="str">
        <f t="shared" si="5"/>
        <v/>
      </c>
      <c r="O158" s="9" t="str">
        <f t="shared" si="6"/>
        <v/>
      </c>
      <c r="P158" s="9" t="str">
        <f t="shared" si="7"/>
        <v/>
      </c>
      <c r="Q158" s="9" t="str">
        <f t="shared" si="8"/>
        <v/>
      </c>
      <c r="R158" s="9" t="str">
        <f t="shared" si="9"/>
        <v/>
      </c>
    </row>
    <row r="159">
      <c r="A159" s="1" t="str">
        <f t="shared" si="1"/>
        <v/>
      </c>
      <c r="G159" s="9" t="str">
        <f>IFERROR(__xludf.DUMMYFUNCTION("IF(B159="""","""",ROUND(XLOOKUP(B159, FLATTEN(B$1:E158), FLATTEN(O$1:R158), 500, 0, -1)))"),"")</f>
        <v/>
      </c>
      <c r="H159" s="9" t="str">
        <f>IFERROR(__xludf.DUMMYFUNCTION("IF(C159="""","""",ROUND(XLOOKUP(C159, FLATTEN(B$1:E158), FLATTEN(O$1:R158), 500, 0, -1)))"),"")</f>
        <v/>
      </c>
      <c r="I159" s="9" t="str">
        <f>IFERROR(__xludf.DUMMYFUNCTION("IF(D159="""","""",ROUND(XLOOKUP(D159, FLATTEN(B$1:E158), FLATTEN(O$1:R158), 500, 0, -1)))"),"")</f>
        <v/>
      </c>
      <c r="J159" s="9" t="str">
        <f>IFERROR(__xludf.DUMMYFUNCTION("IF(E159="""","""",ROUND(XLOOKUP(E159, FLATTEN(B$1:E158), FLATTEN(O$1:R158), 500, 0, -1)))"),"")</f>
        <v/>
      </c>
      <c r="K159" s="9" t="str">
        <f t="shared" si="2"/>
        <v/>
      </c>
      <c r="L159" s="9" t="str">
        <f t="shared" si="3"/>
        <v/>
      </c>
      <c r="M159" s="32" t="str">
        <f t="shared" si="4"/>
        <v/>
      </c>
      <c r="N159" s="9" t="str">
        <f t="shared" si="5"/>
        <v/>
      </c>
      <c r="O159" s="9" t="str">
        <f t="shared" si="6"/>
        <v/>
      </c>
      <c r="P159" s="9" t="str">
        <f t="shared" si="7"/>
        <v/>
      </c>
      <c r="Q159" s="9" t="str">
        <f t="shared" si="8"/>
        <v/>
      </c>
      <c r="R159" s="9" t="str">
        <f t="shared" si="9"/>
        <v/>
      </c>
    </row>
    <row r="160">
      <c r="A160" s="1" t="str">
        <f t="shared" si="1"/>
        <v/>
      </c>
      <c r="G160" s="9" t="str">
        <f>IFERROR(__xludf.DUMMYFUNCTION("IF(B160="""","""",ROUND(XLOOKUP(B160, FLATTEN(B$1:E159), FLATTEN(O$1:R159), 500, 0, -1)))"),"")</f>
        <v/>
      </c>
      <c r="H160" s="9" t="str">
        <f>IFERROR(__xludf.DUMMYFUNCTION("IF(C160="""","""",ROUND(XLOOKUP(C160, FLATTEN(B$1:E159), FLATTEN(O$1:R159), 500, 0, -1)))"),"")</f>
        <v/>
      </c>
      <c r="I160" s="9" t="str">
        <f>IFERROR(__xludf.DUMMYFUNCTION("IF(D160="""","""",ROUND(XLOOKUP(D160, FLATTEN(B$1:E159), FLATTEN(O$1:R159), 500, 0, -1)))"),"")</f>
        <v/>
      </c>
      <c r="J160" s="9" t="str">
        <f>IFERROR(__xludf.DUMMYFUNCTION("IF(E160="""","""",ROUND(XLOOKUP(E160, FLATTEN(B$1:E159), FLATTEN(O$1:R159), 500, 0, -1)))"),"")</f>
        <v/>
      </c>
      <c r="K160" s="9" t="str">
        <f t="shared" si="2"/>
        <v/>
      </c>
      <c r="L160" s="9" t="str">
        <f t="shared" si="3"/>
        <v/>
      </c>
      <c r="M160" s="32" t="str">
        <f t="shared" si="4"/>
        <v/>
      </c>
      <c r="N160" s="9" t="str">
        <f t="shared" si="5"/>
        <v/>
      </c>
      <c r="O160" s="9" t="str">
        <f t="shared" si="6"/>
        <v/>
      </c>
      <c r="P160" s="9" t="str">
        <f t="shared" si="7"/>
        <v/>
      </c>
      <c r="Q160" s="9" t="str">
        <f t="shared" si="8"/>
        <v/>
      </c>
      <c r="R160" s="9" t="str">
        <f t="shared" si="9"/>
        <v/>
      </c>
    </row>
    <row r="161">
      <c r="A161" s="1" t="str">
        <f t="shared" si="1"/>
        <v/>
      </c>
      <c r="G161" s="9" t="str">
        <f>IFERROR(__xludf.DUMMYFUNCTION("IF(B161="""","""",ROUND(XLOOKUP(B161, FLATTEN(B$1:E160), FLATTEN(O$1:R160), 500, 0, -1)))"),"")</f>
        <v/>
      </c>
      <c r="H161" s="9" t="str">
        <f>IFERROR(__xludf.DUMMYFUNCTION("IF(C161="""","""",ROUND(XLOOKUP(C161, FLATTEN(B$1:E160), FLATTEN(O$1:R160), 500, 0, -1)))"),"")</f>
        <v/>
      </c>
      <c r="I161" s="9" t="str">
        <f>IFERROR(__xludf.DUMMYFUNCTION("IF(D161="""","""",ROUND(XLOOKUP(D161, FLATTEN(B$1:E160), FLATTEN(O$1:R160), 500, 0, -1)))"),"")</f>
        <v/>
      </c>
      <c r="J161" s="9" t="str">
        <f>IFERROR(__xludf.DUMMYFUNCTION("IF(E161="""","""",ROUND(XLOOKUP(E161, FLATTEN(B$1:E160), FLATTEN(O$1:R160), 500, 0, -1)))"),"")</f>
        <v/>
      </c>
      <c r="K161" s="9" t="str">
        <f t="shared" si="2"/>
        <v/>
      </c>
      <c r="L161" s="9" t="str">
        <f t="shared" si="3"/>
        <v/>
      </c>
      <c r="M161" s="32" t="str">
        <f t="shared" si="4"/>
        <v/>
      </c>
      <c r="N161" s="9" t="str">
        <f t="shared" si="5"/>
        <v/>
      </c>
      <c r="O161" s="9" t="str">
        <f t="shared" si="6"/>
        <v/>
      </c>
      <c r="P161" s="9" t="str">
        <f t="shared" si="7"/>
        <v/>
      </c>
      <c r="Q161" s="9" t="str">
        <f t="shared" si="8"/>
        <v/>
      </c>
      <c r="R161" s="9" t="str">
        <f t="shared" si="9"/>
        <v/>
      </c>
    </row>
    <row r="162">
      <c r="A162" s="1" t="str">
        <f t="shared" si="1"/>
        <v/>
      </c>
      <c r="G162" s="9" t="str">
        <f>IFERROR(__xludf.DUMMYFUNCTION("IF(B162="""","""",ROUND(XLOOKUP(B162, FLATTEN(B$1:E161), FLATTEN(O$1:R161), 500, 0, -1)))"),"")</f>
        <v/>
      </c>
      <c r="H162" s="9" t="str">
        <f>IFERROR(__xludf.DUMMYFUNCTION("IF(C162="""","""",ROUND(XLOOKUP(C162, FLATTEN(B$1:E161), FLATTEN(O$1:R161), 500, 0, -1)))"),"")</f>
        <v/>
      </c>
      <c r="I162" s="9" t="str">
        <f>IFERROR(__xludf.DUMMYFUNCTION("IF(D162="""","""",ROUND(XLOOKUP(D162, FLATTEN(B$1:E161), FLATTEN(O$1:R161), 500, 0, -1)))"),"")</f>
        <v/>
      </c>
      <c r="J162" s="9" t="str">
        <f>IFERROR(__xludf.DUMMYFUNCTION("IF(E162="""","""",ROUND(XLOOKUP(E162, FLATTEN(B$1:E161), FLATTEN(O$1:R161), 500, 0, -1)))"),"")</f>
        <v/>
      </c>
      <c r="K162" s="9" t="str">
        <f t="shared" si="2"/>
        <v/>
      </c>
      <c r="L162" s="9" t="str">
        <f t="shared" si="3"/>
        <v/>
      </c>
      <c r="M162" s="32" t="str">
        <f t="shared" si="4"/>
        <v/>
      </c>
      <c r="N162" s="9" t="str">
        <f t="shared" si="5"/>
        <v/>
      </c>
      <c r="O162" s="9" t="str">
        <f t="shared" si="6"/>
        <v/>
      </c>
      <c r="P162" s="9" t="str">
        <f t="shared" si="7"/>
        <v/>
      </c>
      <c r="Q162" s="9" t="str">
        <f t="shared" si="8"/>
        <v/>
      </c>
      <c r="R162" s="9" t="str">
        <f t="shared" si="9"/>
        <v/>
      </c>
    </row>
    <row r="163">
      <c r="A163" s="1" t="str">
        <f t="shared" si="1"/>
        <v/>
      </c>
      <c r="G163" s="9" t="str">
        <f>IFERROR(__xludf.DUMMYFUNCTION("IF(B163="""","""",ROUND(XLOOKUP(B163, FLATTEN(B$1:E162), FLATTEN(O$1:R162), 500, 0, -1)))"),"")</f>
        <v/>
      </c>
      <c r="H163" s="9" t="str">
        <f>IFERROR(__xludf.DUMMYFUNCTION("IF(C163="""","""",ROUND(XLOOKUP(C163, FLATTEN(B$1:E162), FLATTEN(O$1:R162), 500, 0, -1)))"),"")</f>
        <v/>
      </c>
      <c r="I163" s="9" t="str">
        <f>IFERROR(__xludf.DUMMYFUNCTION("IF(D163="""","""",ROUND(XLOOKUP(D163, FLATTEN(B$1:E162), FLATTEN(O$1:R162), 500, 0, -1)))"),"")</f>
        <v/>
      </c>
      <c r="J163" s="9" t="str">
        <f>IFERROR(__xludf.DUMMYFUNCTION("IF(E163="""","""",ROUND(XLOOKUP(E163, FLATTEN(B$1:E162), FLATTEN(O$1:R162), 500, 0, -1)))"),"")</f>
        <v/>
      </c>
      <c r="K163" s="9" t="str">
        <f t="shared" si="2"/>
        <v/>
      </c>
      <c r="L163" s="9" t="str">
        <f t="shared" si="3"/>
        <v/>
      </c>
      <c r="M163" s="32" t="str">
        <f t="shared" si="4"/>
        <v/>
      </c>
      <c r="N163" s="9" t="str">
        <f t="shared" si="5"/>
        <v/>
      </c>
      <c r="O163" s="9" t="str">
        <f t="shared" si="6"/>
        <v/>
      </c>
      <c r="P163" s="9" t="str">
        <f t="shared" si="7"/>
        <v/>
      </c>
      <c r="Q163" s="9" t="str">
        <f t="shared" si="8"/>
        <v/>
      </c>
      <c r="R163" s="9" t="str">
        <f t="shared" si="9"/>
        <v/>
      </c>
    </row>
    <row r="164">
      <c r="A164" s="1" t="str">
        <f t="shared" si="1"/>
        <v/>
      </c>
      <c r="G164" s="9" t="str">
        <f>IFERROR(__xludf.DUMMYFUNCTION("IF(B164="""","""",ROUND(XLOOKUP(B164, FLATTEN(B$1:E163), FLATTEN(O$1:R163), 500, 0, -1)))"),"")</f>
        <v/>
      </c>
      <c r="H164" s="9" t="str">
        <f>IFERROR(__xludf.DUMMYFUNCTION("IF(C164="""","""",ROUND(XLOOKUP(C164, FLATTEN(B$1:E163), FLATTEN(O$1:R163), 500, 0, -1)))"),"")</f>
        <v/>
      </c>
      <c r="I164" s="9" t="str">
        <f>IFERROR(__xludf.DUMMYFUNCTION("IF(D164="""","""",ROUND(XLOOKUP(D164, FLATTEN(B$1:E163), FLATTEN(O$1:R163), 500, 0, -1)))"),"")</f>
        <v/>
      </c>
      <c r="J164" s="9" t="str">
        <f>IFERROR(__xludf.DUMMYFUNCTION("IF(E164="""","""",ROUND(XLOOKUP(E164, FLATTEN(B$1:E163), FLATTEN(O$1:R163), 500, 0, -1)))"),"")</f>
        <v/>
      </c>
      <c r="K164" s="9" t="str">
        <f t="shared" si="2"/>
        <v/>
      </c>
      <c r="L164" s="9" t="str">
        <f t="shared" si="3"/>
        <v/>
      </c>
      <c r="M164" s="32" t="str">
        <f t="shared" si="4"/>
        <v/>
      </c>
      <c r="N164" s="9" t="str">
        <f t="shared" si="5"/>
        <v/>
      </c>
      <c r="O164" s="9" t="str">
        <f t="shared" si="6"/>
        <v/>
      </c>
      <c r="P164" s="9" t="str">
        <f t="shared" si="7"/>
        <v/>
      </c>
      <c r="Q164" s="9" t="str">
        <f t="shared" si="8"/>
        <v/>
      </c>
      <c r="R164" s="9" t="str">
        <f t="shared" si="9"/>
        <v/>
      </c>
    </row>
    <row r="165">
      <c r="A165" s="1" t="str">
        <f t="shared" si="1"/>
        <v/>
      </c>
      <c r="G165" s="9" t="str">
        <f>IFERROR(__xludf.DUMMYFUNCTION("IF(B165="""","""",ROUND(XLOOKUP(B165, FLATTEN(B$1:E164), FLATTEN(O$1:R164), 500, 0, -1)))"),"")</f>
        <v/>
      </c>
      <c r="H165" s="9" t="str">
        <f>IFERROR(__xludf.DUMMYFUNCTION("IF(C165="""","""",ROUND(XLOOKUP(C165, FLATTEN(B$1:E164), FLATTEN(O$1:R164), 500, 0, -1)))"),"")</f>
        <v/>
      </c>
      <c r="I165" s="9" t="str">
        <f>IFERROR(__xludf.DUMMYFUNCTION("IF(D165="""","""",ROUND(XLOOKUP(D165, FLATTEN(B$1:E164), FLATTEN(O$1:R164), 500, 0, -1)))"),"")</f>
        <v/>
      </c>
      <c r="J165" s="9" t="str">
        <f>IFERROR(__xludf.DUMMYFUNCTION("IF(E165="""","""",ROUND(XLOOKUP(E165, FLATTEN(B$1:E164), FLATTEN(O$1:R164), 500, 0, -1)))"),"")</f>
        <v/>
      </c>
      <c r="K165" s="9" t="str">
        <f t="shared" si="2"/>
        <v/>
      </c>
      <c r="L165" s="9" t="str">
        <f t="shared" si="3"/>
        <v/>
      </c>
      <c r="M165" s="32" t="str">
        <f t="shared" si="4"/>
        <v/>
      </c>
      <c r="N165" s="9" t="str">
        <f t="shared" si="5"/>
        <v/>
      </c>
      <c r="O165" s="9" t="str">
        <f t="shared" si="6"/>
        <v/>
      </c>
      <c r="P165" s="9" t="str">
        <f t="shared" si="7"/>
        <v/>
      </c>
      <c r="Q165" s="9" t="str">
        <f t="shared" si="8"/>
        <v/>
      </c>
      <c r="R165" s="9" t="str">
        <f t="shared" si="9"/>
        <v/>
      </c>
    </row>
    <row r="166">
      <c r="A166" s="1" t="str">
        <f t="shared" si="1"/>
        <v/>
      </c>
      <c r="G166" s="9" t="str">
        <f>IFERROR(__xludf.DUMMYFUNCTION("IF(B166="""","""",ROUND(XLOOKUP(B166, FLATTEN(B$1:E165), FLATTEN(O$1:R165), 500, 0, -1)))"),"")</f>
        <v/>
      </c>
      <c r="H166" s="9" t="str">
        <f>IFERROR(__xludf.DUMMYFUNCTION("IF(C166="""","""",ROUND(XLOOKUP(C166, FLATTEN(B$1:E165), FLATTEN(O$1:R165), 500, 0, -1)))"),"")</f>
        <v/>
      </c>
      <c r="I166" s="9" t="str">
        <f>IFERROR(__xludf.DUMMYFUNCTION("IF(D166="""","""",ROUND(XLOOKUP(D166, FLATTEN(B$1:E165), FLATTEN(O$1:R165), 500, 0, -1)))"),"")</f>
        <v/>
      </c>
      <c r="J166" s="9" t="str">
        <f>IFERROR(__xludf.DUMMYFUNCTION("IF(E166="""","""",ROUND(XLOOKUP(E166, FLATTEN(B$1:E165), FLATTEN(O$1:R165), 500, 0, -1)))"),"")</f>
        <v/>
      </c>
      <c r="K166" s="9" t="str">
        <f t="shared" si="2"/>
        <v/>
      </c>
      <c r="L166" s="9" t="str">
        <f t="shared" si="3"/>
        <v/>
      </c>
      <c r="M166" s="32" t="str">
        <f t="shared" si="4"/>
        <v/>
      </c>
      <c r="N166" s="9" t="str">
        <f t="shared" si="5"/>
        <v/>
      </c>
      <c r="O166" s="9" t="str">
        <f t="shared" si="6"/>
        <v/>
      </c>
      <c r="P166" s="9" t="str">
        <f t="shared" si="7"/>
        <v/>
      </c>
      <c r="Q166" s="9" t="str">
        <f t="shared" si="8"/>
        <v/>
      </c>
      <c r="R166" s="9" t="str">
        <f t="shared" si="9"/>
        <v/>
      </c>
    </row>
    <row r="167">
      <c r="A167" s="1" t="str">
        <f t="shared" si="1"/>
        <v/>
      </c>
      <c r="G167" s="9" t="str">
        <f>IFERROR(__xludf.DUMMYFUNCTION("IF(B167="""","""",ROUND(XLOOKUP(B167, FLATTEN(B$1:E166), FLATTEN(O$1:R166), 500, 0, -1)))"),"")</f>
        <v/>
      </c>
      <c r="H167" s="9" t="str">
        <f>IFERROR(__xludf.DUMMYFUNCTION("IF(C167="""","""",ROUND(XLOOKUP(C167, FLATTEN(B$1:E166), FLATTEN(O$1:R166), 500, 0, -1)))"),"")</f>
        <v/>
      </c>
      <c r="I167" s="9" t="str">
        <f>IFERROR(__xludf.DUMMYFUNCTION("IF(D167="""","""",ROUND(XLOOKUP(D167, FLATTEN(B$1:E166), FLATTEN(O$1:R166), 500, 0, -1)))"),"")</f>
        <v/>
      </c>
      <c r="J167" s="9" t="str">
        <f>IFERROR(__xludf.DUMMYFUNCTION("IF(E167="""","""",ROUND(XLOOKUP(E167, FLATTEN(B$1:E166), FLATTEN(O$1:R166), 500, 0, -1)))"),"")</f>
        <v/>
      </c>
      <c r="K167" s="9" t="str">
        <f t="shared" si="2"/>
        <v/>
      </c>
      <c r="L167" s="9" t="str">
        <f t="shared" si="3"/>
        <v/>
      </c>
      <c r="M167" s="32" t="str">
        <f t="shared" si="4"/>
        <v/>
      </c>
      <c r="N167" s="9" t="str">
        <f t="shared" si="5"/>
        <v/>
      </c>
      <c r="O167" s="9" t="str">
        <f t="shared" si="6"/>
        <v/>
      </c>
      <c r="P167" s="9" t="str">
        <f t="shared" si="7"/>
        <v/>
      </c>
      <c r="Q167" s="9" t="str">
        <f t="shared" si="8"/>
        <v/>
      </c>
      <c r="R167" s="9" t="str">
        <f t="shared" si="9"/>
        <v/>
      </c>
    </row>
    <row r="168">
      <c r="A168" s="1" t="str">
        <f t="shared" si="1"/>
        <v/>
      </c>
      <c r="G168" s="9" t="str">
        <f>IFERROR(__xludf.DUMMYFUNCTION("IF(B168="""","""",ROUND(XLOOKUP(B168, FLATTEN(B$1:E167), FLATTEN(O$1:R167), 500, 0, -1)))"),"")</f>
        <v/>
      </c>
      <c r="H168" s="9" t="str">
        <f>IFERROR(__xludf.DUMMYFUNCTION("IF(C168="""","""",ROUND(XLOOKUP(C168, FLATTEN(B$1:E167), FLATTEN(O$1:R167), 500, 0, -1)))"),"")</f>
        <v/>
      </c>
      <c r="I168" s="9" t="str">
        <f>IFERROR(__xludf.DUMMYFUNCTION("IF(D168="""","""",ROUND(XLOOKUP(D168, FLATTEN(B$1:E167), FLATTEN(O$1:R167), 500, 0, -1)))"),"")</f>
        <v/>
      </c>
      <c r="J168" s="9" t="str">
        <f>IFERROR(__xludf.DUMMYFUNCTION("IF(E168="""","""",ROUND(XLOOKUP(E168, FLATTEN(B$1:E167), FLATTEN(O$1:R167), 500, 0, -1)))"),"")</f>
        <v/>
      </c>
      <c r="K168" s="9" t="str">
        <f t="shared" si="2"/>
        <v/>
      </c>
      <c r="L168" s="9" t="str">
        <f t="shared" si="3"/>
        <v/>
      </c>
      <c r="M168" s="32" t="str">
        <f t="shared" si="4"/>
        <v/>
      </c>
      <c r="N168" s="9" t="str">
        <f t="shared" si="5"/>
        <v/>
      </c>
      <c r="O168" s="9" t="str">
        <f t="shared" si="6"/>
        <v/>
      </c>
      <c r="P168" s="9" t="str">
        <f t="shared" si="7"/>
        <v/>
      </c>
      <c r="Q168" s="9" t="str">
        <f t="shared" si="8"/>
        <v/>
      </c>
      <c r="R168" s="9" t="str">
        <f t="shared" si="9"/>
        <v/>
      </c>
    </row>
    <row r="169">
      <c r="A169" s="1" t="str">
        <f t="shared" si="1"/>
        <v/>
      </c>
      <c r="G169" s="9" t="str">
        <f>IFERROR(__xludf.DUMMYFUNCTION("IF(B169="""","""",ROUND(XLOOKUP(B169, FLATTEN(B$1:E168), FLATTEN(O$1:R168), 500, 0, -1)))"),"")</f>
        <v/>
      </c>
      <c r="H169" s="9" t="str">
        <f>IFERROR(__xludf.DUMMYFUNCTION("IF(C169="""","""",ROUND(XLOOKUP(C169, FLATTEN(B$1:E168), FLATTEN(O$1:R168), 500, 0, -1)))"),"")</f>
        <v/>
      </c>
      <c r="I169" s="9" t="str">
        <f>IFERROR(__xludf.DUMMYFUNCTION("IF(D169="""","""",ROUND(XLOOKUP(D169, FLATTEN(B$1:E168), FLATTEN(O$1:R168), 500, 0, -1)))"),"")</f>
        <v/>
      </c>
      <c r="J169" s="9" t="str">
        <f>IFERROR(__xludf.DUMMYFUNCTION("IF(E169="""","""",ROUND(XLOOKUP(E169, FLATTEN(B$1:E168), FLATTEN(O$1:R168), 500, 0, -1)))"),"")</f>
        <v/>
      </c>
      <c r="K169" s="9" t="str">
        <f t="shared" si="2"/>
        <v/>
      </c>
      <c r="L169" s="9" t="str">
        <f t="shared" si="3"/>
        <v/>
      </c>
      <c r="M169" s="32" t="str">
        <f t="shared" si="4"/>
        <v/>
      </c>
      <c r="N169" s="9" t="str">
        <f t="shared" si="5"/>
        <v/>
      </c>
      <c r="O169" s="9" t="str">
        <f t="shared" si="6"/>
        <v/>
      </c>
      <c r="P169" s="9" t="str">
        <f t="shared" si="7"/>
        <v/>
      </c>
      <c r="Q169" s="9" t="str">
        <f t="shared" si="8"/>
        <v/>
      </c>
      <c r="R169" s="9" t="str">
        <f t="shared" si="9"/>
        <v/>
      </c>
    </row>
    <row r="170">
      <c r="A170" s="1" t="str">
        <f t="shared" si="1"/>
        <v/>
      </c>
      <c r="G170" s="9" t="str">
        <f>IFERROR(__xludf.DUMMYFUNCTION("IF(B170="""","""",ROUND(XLOOKUP(B170, FLATTEN(B$1:E169), FLATTEN(O$1:R169), 500, 0, -1)))"),"")</f>
        <v/>
      </c>
      <c r="H170" s="9" t="str">
        <f>IFERROR(__xludf.DUMMYFUNCTION("IF(C170="""","""",ROUND(XLOOKUP(C170, FLATTEN(B$1:E169), FLATTEN(O$1:R169), 500, 0, -1)))"),"")</f>
        <v/>
      </c>
      <c r="I170" s="9" t="str">
        <f>IFERROR(__xludf.DUMMYFUNCTION("IF(D170="""","""",ROUND(XLOOKUP(D170, FLATTEN(B$1:E169), FLATTEN(O$1:R169), 500, 0, -1)))"),"")</f>
        <v/>
      </c>
      <c r="J170" s="9" t="str">
        <f>IFERROR(__xludf.DUMMYFUNCTION("IF(E170="""","""",ROUND(XLOOKUP(E170, FLATTEN(B$1:E169), FLATTEN(O$1:R169), 500, 0, -1)))"),"")</f>
        <v/>
      </c>
      <c r="K170" s="9" t="str">
        <f t="shared" si="2"/>
        <v/>
      </c>
      <c r="L170" s="9" t="str">
        <f t="shared" si="3"/>
        <v/>
      </c>
      <c r="M170" s="32" t="str">
        <f t="shared" si="4"/>
        <v/>
      </c>
      <c r="N170" s="9" t="str">
        <f t="shared" si="5"/>
        <v/>
      </c>
      <c r="O170" s="9" t="str">
        <f t="shared" si="6"/>
        <v/>
      </c>
      <c r="P170" s="9" t="str">
        <f t="shared" si="7"/>
        <v/>
      </c>
      <c r="Q170" s="9" t="str">
        <f t="shared" si="8"/>
        <v/>
      </c>
      <c r="R170" s="9" t="str">
        <f t="shared" si="9"/>
        <v/>
      </c>
    </row>
    <row r="171">
      <c r="A171" s="1" t="str">
        <f t="shared" si="1"/>
        <v/>
      </c>
      <c r="G171" s="9" t="str">
        <f>IFERROR(__xludf.DUMMYFUNCTION("IF(B171="""","""",ROUND(XLOOKUP(B171, FLATTEN(B$1:E170), FLATTEN(O$1:R170), 500, 0, -1)))"),"")</f>
        <v/>
      </c>
      <c r="H171" s="9" t="str">
        <f>IFERROR(__xludf.DUMMYFUNCTION("IF(C171="""","""",ROUND(XLOOKUP(C171, FLATTEN(B$1:E170), FLATTEN(O$1:R170), 500, 0, -1)))"),"")</f>
        <v/>
      </c>
      <c r="I171" s="9" t="str">
        <f>IFERROR(__xludf.DUMMYFUNCTION("IF(D171="""","""",ROUND(XLOOKUP(D171, FLATTEN(B$1:E170), FLATTEN(O$1:R170), 500, 0, -1)))"),"")</f>
        <v/>
      </c>
      <c r="J171" s="9" t="str">
        <f>IFERROR(__xludf.DUMMYFUNCTION("IF(E171="""","""",ROUND(XLOOKUP(E171, FLATTEN(B$1:E170), FLATTEN(O$1:R170), 500, 0, -1)))"),"")</f>
        <v/>
      </c>
      <c r="K171" s="9" t="str">
        <f t="shared" si="2"/>
        <v/>
      </c>
      <c r="L171" s="9" t="str">
        <f t="shared" si="3"/>
        <v/>
      </c>
      <c r="M171" s="32" t="str">
        <f t="shared" si="4"/>
        <v/>
      </c>
      <c r="N171" s="9" t="str">
        <f t="shared" si="5"/>
        <v/>
      </c>
      <c r="O171" s="9" t="str">
        <f t="shared" si="6"/>
        <v/>
      </c>
      <c r="P171" s="9" t="str">
        <f t="shared" si="7"/>
        <v/>
      </c>
      <c r="Q171" s="9" t="str">
        <f t="shared" si="8"/>
        <v/>
      </c>
      <c r="R171" s="9" t="str">
        <f t="shared" si="9"/>
        <v/>
      </c>
    </row>
    <row r="172">
      <c r="A172" s="1" t="str">
        <f t="shared" si="1"/>
        <v/>
      </c>
      <c r="G172" s="9" t="str">
        <f>IFERROR(__xludf.DUMMYFUNCTION("IF(B172="""","""",ROUND(XLOOKUP(B172, FLATTEN(B$1:E171), FLATTEN(O$1:R171), 500, 0, -1)))"),"")</f>
        <v/>
      </c>
      <c r="H172" s="9" t="str">
        <f>IFERROR(__xludf.DUMMYFUNCTION("IF(C172="""","""",ROUND(XLOOKUP(C172, FLATTEN(B$1:E171), FLATTEN(O$1:R171), 500, 0, -1)))"),"")</f>
        <v/>
      </c>
      <c r="I172" s="9" t="str">
        <f>IFERROR(__xludf.DUMMYFUNCTION("IF(D172="""","""",ROUND(XLOOKUP(D172, FLATTEN(B$1:E171), FLATTEN(O$1:R171), 500, 0, -1)))"),"")</f>
        <v/>
      </c>
      <c r="J172" s="9" t="str">
        <f>IFERROR(__xludf.DUMMYFUNCTION("IF(E172="""","""",ROUND(XLOOKUP(E172, FLATTEN(B$1:E171), FLATTEN(O$1:R171), 500, 0, -1)))"),"")</f>
        <v/>
      </c>
      <c r="K172" s="9" t="str">
        <f t="shared" si="2"/>
        <v/>
      </c>
      <c r="L172" s="9" t="str">
        <f t="shared" si="3"/>
        <v/>
      </c>
      <c r="M172" s="32" t="str">
        <f t="shared" si="4"/>
        <v/>
      </c>
      <c r="N172" s="9" t="str">
        <f t="shared" si="5"/>
        <v/>
      </c>
      <c r="O172" s="9" t="str">
        <f t="shared" si="6"/>
        <v/>
      </c>
      <c r="P172" s="9" t="str">
        <f t="shared" si="7"/>
        <v/>
      </c>
      <c r="Q172" s="9" t="str">
        <f t="shared" si="8"/>
        <v/>
      </c>
      <c r="R172" s="9" t="str">
        <f t="shared" si="9"/>
        <v/>
      </c>
    </row>
    <row r="173">
      <c r="A173" s="1" t="str">
        <f t="shared" si="1"/>
        <v/>
      </c>
      <c r="G173" s="9" t="str">
        <f>IFERROR(__xludf.DUMMYFUNCTION("IF(B173="""","""",ROUND(XLOOKUP(B173, FLATTEN(B$1:E172), FLATTEN(O$1:R172), 500, 0, -1)))"),"")</f>
        <v/>
      </c>
      <c r="H173" s="9" t="str">
        <f>IFERROR(__xludf.DUMMYFUNCTION("IF(C173="""","""",ROUND(XLOOKUP(C173, FLATTEN(B$1:E172), FLATTEN(O$1:R172), 500, 0, -1)))"),"")</f>
        <v/>
      </c>
      <c r="I173" s="9" t="str">
        <f>IFERROR(__xludf.DUMMYFUNCTION("IF(D173="""","""",ROUND(XLOOKUP(D173, FLATTEN(B$1:E172), FLATTEN(O$1:R172), 500, 0, -1)))"),"")</f>
        <v/>
      </c>
      <c r="J173" s="9" t="str">
        <f>IFERROR(__xludf.DUMMYFUNCTION("IF(E173="""","""",ROUND(XLOOKUP(E173, FLATTEN(B$1:E172), FLATTEN(O$1:R172), 500, 0, -1)))"),"")</f>
        <v/>
      </c>
      <c r="K173" s="9" t="str">
        <f t="shared" si="2"/>
        <v/>
      </c>
      <c r="L173" s="9" t="str">
        <f t="shared" si="3"/>
        <v/>
      </c>
      <c r="M173" s="32" t="str">
        <f t="shared" si="4"/>
        <v/>
      </c>
      <c r="N173" s="9" t="str">
        <f t="shared" si="5"/>
        <v/>
      </c>
      <c r="O173" s="9" t="str">
        <f t="shared" si="6"/>
        <v/>
      </c>
      <c r="P173" s="9" t="str">
        <f t="shared" si="7"/>
        <v/>
      </c>
      <c r="Q173" s="9" t="str">
        <f t="shared" si="8"/>
        <v/>
      </c>
      <c r="R173" s="9" t="str">
        <f t="shared" si="9"/>
        <v/>
      </c>
    </row>
    <row r="174">
      <c r="A174" s="1" t="str">
        <f t="shared" si="1"/>
        <v/>
      </c>
      <c r="G174" s="9" t="str">
        <f>IFERROR(__xludf.DUMMYFUNCTION("IF(B174="""","""",ROUND(XLOOKUP(B174, FLATTEN(B$1:E173), FLATTEN(O$1:R173), 500, 0, -1)))"),"")</f>
        <v/>
      </c>
      <c r="H174" s="9" t="str">
        <f>IFERROR(__xludf.DUMMYFUNCTION("IF(C174="""","""",ROUND(XLOOKUP(C174, FLATTEN(B$1:E173), FLATTEN(O$1:R173), 500, 0, -1)))"),"")</f>
        <v/>
      </c>
      <c r="I174" s="9" t="str">
        <f>IFERROR(__xludf.DUMMYFUNCTION("IF(D174="""","""",ROUND(XLOOKUP(D174, FLATTEN(B$1:E173), FLATTEN(O$1:R173), 500, 0, -1)))"),"")</f>
        <v/>
      </c>
      <c r="J174" s="9" t="str">
        <f>IFERROR(__xludf.DUMMYFUNCTION("IF(E174="""","""",ROUND(XLOOKUP(E174, FLATTEN(B$1:E173), FLATTEN(O$1:R173), 500, 0, -1)))"),"")</f>
        <v/>
      </c>
      <c r="K174" s="9" t="str">
        <f t="shared" si="2"/>
        <v/>
      </c>
      <c r="L174" s="9" t="str">
        <f t="shared" si="3"/>
        <v/>
      </c>
      <c r="M174" s="32" t="str">
        <f t="shared" si="4"/>
        <v/>
      </c>
      <c r="N174" s="9" t="str">
        <f t="shared" si="5"/>
        <v/>
      </c>
      <c r="O174" s="9" t="str">
        <f t="shared" si="6"/>
        <v/>
      </c>
      <c r="P174" s="9" t="str">
        <f t="shared" si="7"/>
        <v/>
      </c>
      <c r="Q174" s="9" t="str">
        <f t="shared" si="8"/>
        <v/>
      </c>
      <c r="R174" s="9" t="str">
        <f t="shared" si="9"/>
        <v/>
      </c>
    </row>
    <row r="175">
      <c r="A175" s="1" t="str">
        <f t="shared" si="1"/>
        <v/>
      </c>
      <c r="G175" s="9" t="str">
        <f>IFERROR(__xludf.DUMMYFUNCTION("IF(B175="""","""",ROUND(XLOOKUP(B175, FLATTEN(B$1:E174), FLATTEN(O$1:R174), 500, 0, -1)))"),"")</f>
        <v/>
      </c>
      <c r="H175" s="9" t="str">
        <f>IFERROR(__xludf.DUMMYFUNCTION("IF(C175="""","""",ROUND(XLOOKUP(C175, FLATTEN(B$1:E174), FLATTEN(O$1:R174), 500, 0, -1)))"),"")</f>
        <v/>
      </c>
      <c r="I175" s="9" t="str">
        <f>IFERROR(__xludf.DUMMYFUNCTION("IF(D175="""","""",ROUND(XLOOKUP(D175, FLATTEN(B$1:E174), FLATTEN(O$1:R174), 500, 0, -1)))"),"")</f>
        <v/>
      </c>
      <c r="J175" s="9" t="str">
        <f>IFERROR(__xludf.DUMMYFUNCTION("IF(E175="""","""",ROUND(XLOOKUP(E175, FLATTEN(B$1:E174), FLATTEN(O$1:R174), 500, 0, -1)))"),"")</f>
        <v/>
      </c>
      <c r="K175" s="9" t="str">
        <f t="shared" si="2"/>
        <v/>
      </c>
      <c r="L175" s="9" t="str">
        <f t="shared" si="3"/>
        <v/>
      </c>
      <c r="M175" s="32" t="str">
        <f t="shared" si="4"/>
        <v/>
      </c>
      <c r="N175" s="9" t="str">
        <f t="shared" si="5"/>
        <v/>
      </c>
      <c r="O175" s="9" t="str">
        <f t="shared" si="6"/>
        <v/>
      </c>
      <c r="P175" s="9" t="str">
        <f t="shared" si="7"/>
        <v/>
      </c>
      <c r="Q175" s="9" t="str">
        <f t="shared" si="8"/>
        <v/>
      </c>
      <c r="R175" s="9" t="str">
        <f t="shared" si="9"/>
        <v/>
      </c>
    </row>
    <row r="176">
      <c r="A176" s="1" t="str">
        <f t="shared" si="1"/>
        <v/>
      </c>
      <c r="G176" s="9" t="str">
        <f>IFERROR(__xludf.DUMMYFUNCTION("IF(B176="""","""",ROUND(XLOOKUP(B176, FLATTEN(B$1:E175), FLATTEN(O$1:R175), 500, 0, -1)))"),"")</f>
        <v/>
      </c>
      <c r="H176" s="9" t="str">
        <f>IFERROR(__xludf.DUMMYFUNCTION("IF(C176="""","""",ROUND(XLOOKUP(C176, FLATTEN(B$1:E175), FLATTEN(O$1:R175), 500, 0, -1)))"),"")</f>
        <v/>
      </c>
      <c r="I176" s="9" t="str">
        <f>IFERROR(__xludf.DUMMYFUNCTION("IF(D176="""","""",ROUND(XLOOKUP(D176, FLATTEN(B$1:E175), FLATTEN(O$1:R175), 500, 0, -1)))"),"")</f>
        <v/>
      </c>
      <c r="J176" s="9" t="str">
        <f>IFERROR(__xludf.DUMMYFUNCTION("IF(E176="""","""",ROUND(XLOOKUP(E176, FLATTEN(B$1:E175), FLATTEN(O$1:R175), 500, 0, -1)))"),"")</f>
        <v/>
      </c>
      <c r="K176" s="9" t="str">
        <f t="shared" si="2"/>
        <v/>
      </c>
      <c r="L176" s="9" t="str">
        <f t="shared" si="3"/>
        <v/>
      </c>
      <c r="M176" s="32" t="str">
        <f t="shared" si="4"/>
        <v/>
      </c>
      <c r="N176" s="9" t="str">
        <f t="shared" si="5"/>
        <v/>
      </c>
      <c r="O176" s="9" t="str">
        <f t="shared" si="6"/>
        <v/>
      </c>
      <c r="P176" s="9" t="str">
        <f t="shared" si="7"/>
        <v/>
      </c>
      <c r="Q176" s="9" t="str">
        <f t="shared" si="8"/>
        <v/>
      </c>
      <c r="R176" s="9" t="str">
        <f t="shared" si="9"/>
        <v/>
      </c>
    </row>
    <row r="177">
      <c r="A177" s="1" t="str">
        <f t="shared" si="1"/>
        <v/>
      </c>
      <c r="G177" s="9" t="str">
        <f>IFERROR(__xludf.DUMMYFUNCTION("IF(B177="""","""",ROUND(XLOOKUP(B177, FLATTEN(B$1:E176), FLATTEN(O$1:R176), 500, 0, -1)))"),"")</f>
        <v/>
      </c>
      <c r="H177" s="9" t="str">
        <f>IFERROR(__xludf.DUMMYFUNCTION("IF(C177="""","""",ROUND(XLOOKUP(C177, FLATTEN(B$1:E176), FLATTEN(O$1:R176), 500, 0, -1)))"),"")</f>
        <v/>
      </c>
      <c r="I177" s="9" t="str">
        <f>IFERROR(__xludf.DUMMYFUNCTION("IF(D177="""","""",ROUND(XLOOKUP(D177, FLATTEN(B$1:E176), FLATTEN(O$1:R176), 500, 0, -1)))"),"")</f>
        <v/>
      </c>
      <c r="J177" s="9" t="str">
        <f>IFERROR(__xludf.DUMMYFUNCTION("IF(E177="""","""",ROUND(XLOOKUP(E177, FLATTEN(B$1:E176), FLATTEN(O$1:R176), 500, 0, -1)))"),"")</f>
        <v/>
      </c>
      <c r="K177" s="9" t="str">
        <f t="shared" si="2"/>
        <v/>
      </c>
      <c r="L177" s="9" t="str">
        <f t="shared" si="3"/>
        <v/>
      </c>
      <c r="M177" s="32" t="str">
        <f t="shared" si="4"/>
        <v/>
      </c>
      <c r="N177" s="9" t="str">
        <f t="shared" si="5"/>
        <v/>
      </c>
      <c r="O177" s="9" t="str">
        <f t="shared" si="6"/>
        <v/>
      </c>
      <c r="P177" s="9" t="str">
        <f t="shared" si="7"/>
        <v/>
      </c>
      <c r="Q177" s="9" t="str">
        <f t="shared" si="8"/>
        <v/>
      </c>
      <c r="R177" s="9" t="str">
        <f t="shared" si="9"/>
        <v/>
      </c>
    </row>
    <row r="178">
      <c r="A178" s="1" t="str">
        <f t="shared" si="1"/>
        <v/>
      </c>
      <c r="G178" s="9" t="str">
        <f>IFERROR(__xludf.DUMMYFUNCTION("IF(B178="""","""",ROUND(XLOOKUP(B178, FLATTEN(B$1:E177), FLATTEN(O$1:R177), 500, 0, -1)))"),"")</f>
        <v/>
      </c>
      <c r="H178" s="9" t="str">
        <f>IFERROR(__xludf.DUMMYFUNCTION("IF(C178="""","""",ROUND(XLOOKUP(C178, FLATTEN(B$1:E177), FLATTEN(O$1:R177), 500, 0, -1)))"),"")</f>
        <v/>
      </c>
      <c r="I178" s="9" t="str">
        <f>IFERROR(__xludf.DUMMYFUNCTION("IF(D178="""","""",ROUND(XLOOKUP(D178, FLATTEN(B$1:E177), FLATTEN(O$1:R177), 500, 0, -1)))"),"")</f>
        <v/>
      </c>
      <c r="J178" s="9" t="str">
        <f>IFERROR(__xludf.DUMMYFUNCTION("IF(E178="""","""",ROUND(XLOOKUP(E178, FLATTEN(B$1:E177), FLATTEN(O$1:R177), 500, 0, -1)))"),"")</f>
        <v/>
      </c>
      <c r="K178" s="9" t="str">
        <f t="shared" si="2"/>
        <v/>
      </c>
      <c r="L178" s="9" t="str">
        <f t="shared" si="3"/>
        <v/>
      </c>
      <c r="M178" s="32" t="str">
        <f t="shared" si="4"/>
        <v/>
      </c>
      <c r="N178" s="9" t="str">
        <f t="shared" si="5"/>
        <v/>
      </c>
      <c r="O178" s="9" t="str">
        <f t="shared" si="6"/>
        <v/>
      </c>
      <c r="P178" s="9" t="str">
        <f t="shared" si="7"/>
        <v/>
      </c>
      <c r="Q178" s="9" t="str">
        <f t="shared" si="8"/>
        <v/>
      </c>
      <c r="R178" s="9" t="str">
        <f t="shared" si="9"/>
        <v/>
      </c>
    </row>
    <row r="179">
      <c r="A179" s="1" t="str">
        <f t="shared" si="1"/>
        <v/>
      </c>
      <c r="G179" s="9" t="str">
        <f>IFERROR(__xludf.DUMMYFUNCTION("IF(B179="""","""",ROUND(XLOOKUP(B179, FLATTEN(B$1:E178), FLATTEN(O$1:R178), 500, 0, -1)))"),"")</f>
        <v/>
      </c>
      <c r="H179" s="9" t="str">
        <f>IFERROR(__xludf.DUMMYFUNCTION("IF(C179="""","""",ROUND(XLOOKUP(C179, FLATTEN(B$1:E178), FLATTEN(O$1:R178), 500, 0, -1)))"),"")</f>
        <v/>
      </c>
      <c r="I179" s="9" t="str">
        <f>IFERROR(__xludf.DUMMYFUNCTION("IF(D179="""","""",ROUND(XLOOKUP(D179, FLATTEN(B$1:E178), FLATTEN(O$1:R178), 500, 0, -1)))"),"")</f>
        <v/>
      </c>
      <c r="J179" s="9" t="str">
        <f>IFERROR(__xludf.DUMMYFUNCTION("IF(E179="""","""",ROUND(XLOOKUP(E179, FLATTEN(B$1:E178), FLATTEN(O$1:R178), 500, 0, -1)))"),"")</f>
        <v/>
      </c>
      <c r="K179" s="9" t="str">
        <f t="shared" si="2"/>
        <v/>
      </c>
      <c r="L179" s="9" t="str">
        <f t="shared" si="3"/>
        <v/>
      </c>
      <c r="M179" s="32" t="str">
        <f t="shared" si="4"/>
        <v/>
      </c>
      <c r="N179" s="9" t="str">
        <f t="shared" si="5"/>
        <v/>
      </c>
      <c r="O179" s="9" t="str">
        <f t="shared" si="6"/>
        <v/>
      </c>
      <c r="P179" s="9" t="str">
        <f t="shared" si="7"/>
        <v/>
      </c>
      <c r="Q179" s="9" t="str">
        <f t="shared" si="8"/>
        <v/>
      </c>
      <c r="R179" s="9" t="str">
        <f t="shared" si="9"/>
        <v/>
      </c>
    </row>
    <row r="180">
      <c r="A180" s="1" t="str">
        <f t="shared" si="1"/>
        <v/>
      </c>
      <c r="G180" s="9" t="str">
        <f>IFERROR(__xludf.DUMMYFUNCTION("IF(B180="""","""",ROUND(XLOOKUP(B180, FLATTEN(B$1:E179), FLATTEN(O$1:R179), 500, 0, -1)))"),"")</f>
        <v/>
      </c>
      <c r="H180" s="9" t="str">
        <f>IFERROR(__xludf.DUMMYFUNCTION("IF(C180="""","""",ROUND(XLOOKUP(C180, FLATTEN(B$1:E179), FLATTEN(O$1:R179), 500, 0, -1)))"),"")</f>
        <v/>
      </c>
      <c r="I180" s="9" t="str">
        <f>IFERROR(__xludf.DUMMYFUNCTION("IF(D180="""","""",ROUND(XLOOKUP(D180, FLATTEN(B$1:E179), FLATTEN(O$1:R179), 500, 0, -1)))"),"")</f>
        <v/>
      </c>
      <c r="J180" s="9" t="str">
        <f>IFERROR(__xludf.DUMMYFUNCTION("IF(E180="""","""",ROUND(XLOOKUP(E180, FLATTEN(B$1:E179), FLATTEN(O$1:R179), 500, 0, -1)))"),"")</f>
        <v/>
      </c>
      <c r="K180" s="9" t="str">
        <f t="shared" si="2"/>
        <v/>
      </c>
      <c r="L180" s="9" t="str">
        <f t="shared" si="3"/>
        <v/>
      </c>
      <c r="M180" s="32" t="str">
        <f t="shared" si="4"/>
        <v/>
      </c>
      <c r="N180" s="9" t="str">
        <f t="shared" si="5"/>
        <v/>
      </c>
      <c r="O180" s="9" t="str">
        <f t="shared" si="6"/>
        <v/>
      </c>
      <c r="P180" s="9" t="str">
        <f t="shared" si="7"/>
        <v/>
      </c>
      <c r="Q180" s="9" t="str">
        <f t="shared" si="8"/>
        <v/>
      </c>
      <c r="R180" s="9" t="str">
        <f t="shared" si="9"/>
        <v/>
      </c>
    </row>
    <row r="181">
      <c r="A181" s="1" t="str">
        <f t="shared" si="1"/>
        <v/>
      </c>
      <c r="G181" s="9" t="str">
        <f>IFERROR(__xludf.DUMMYFUNCTION("IF(B181="""","""",ROUND(XLOOKUP(B181, FLATTEN(B$1:E180), FLATTEN(O$1:R180), 500, 0, -1)))"),"")</f>
        <v/>
      </c>
      <c r="H181" s="9" t="str">
        <f>IFERROR(__xludf.DUMMYFUNCTION("IF(C181="""","""",ROUND(XLOOKUP(C181, FLATTEN(B$1:E180), FLATTEN(O$1:R180), 500, 0, -1)))"),"")</f>
        <v/>
      </c>
      <c r="I181" s="9" t="str">
        <f>IFERROR(__xludf.DUMMYFUNCTION("IF(D181="""","""",ROUND(XLOOKUP(D181, FLATTEN(B$1:E180), FLATTEN(O$1:R180), 500, 0, -1)))"),"")</f>
        <v/>
      </c>
      <c r="J181" s="9" t="str">
        <f>IFERROR(__xludf.DUMMYFUNCTION("IF(E181="""","""",ROUND(XLOOKUP(E181, FLATTEN(B$1:E180), FLATTEN(O$1:R180), 500, 0, -1)))"),"")</f>
        <v/>
      </c>
      <c r="K181" s="9" t="str">
        <f t="shared" si="2"/>
        <v/>
      </c>
      <c r="L181" s="9" t="str">
        <f t="shared" si="3"/>
        <v/>
      </c>
      <c r="M181" s="32" t="str">
        <f t="shared" si="4"/>
        <v/>
      </c>
      <c r="N181" s="9" t="str">
        <f t="shared" si="5"/>
        <v/>
      </c>
      <c r="O181" s="9" t="str">
        <f t="shared" si="6"/>
        <v/>
      </c>
      <c r="P181" s="9" t="str">
        <f t="shared" si="7"/>
        <v/>
      </c>
      <c r="Q181" s="9" t="str">
        <f t="shared" si="8"/>
        <v/>
      </c>
      <c r="R181" s="9" t="str">
        <f t="shared" si="9"/>
        <v/>
      </c>
    </row>
    <row r="182">
      <c r="A182" s="1" t="str">
        <f t="shared" si="1"/>
        <v/>
      </c>
      <c r="G182" s="9" t="str">
        <f>IFERROR(__xludf.DUMMYFUNCTION("IF(B182="""","""",ROUND(XLOOKUP(B182, FLATTEN(B$1:E181), FLATTEN(O$1:R181), 500, 0, -1)))"),"")</f>
        <v/>
      </c>
      <c r="H182" s="9" t="str">
        <f>IFERROR(__xludf.DUMMYFUNCTION("IF(C182="""","""",ROUND(XLOOKUP(C182, FLATTEN(B$1:E181), FLATTEN(O$1:R181), 500, 0, -1)))"),"")</f>
        <v/>
      </c>
      <c r="I182" s="9" t="str">
        <f>IFERROR(__xludf.DUMMYFUNCTION("IF(D182="""","""",ROUND(XLOOKUP(D182, FLATTEN(B$1:E181), FLATTEN(O$1:R181), 500, 0, -1)))"),"")</f>
        <v/>
      </c>
      <c r="J182" s="9" t="str">
        <f>IFERROR(__xludf.DUMMYFUNCTION("IF(E182="""","""",ROUND(XLOOKUP(E182, FLATTEN(B$1:E181), FLATTEN(O$1:R181), 500, 0, -1)))"),"")</f>
        <v/>
      </c>
      <c r="K182" s="9" t="str">
        <f t="shared" si="2"/>
        <v/>
      </c>
      <c r="L182" s="9" t="str">
        <f t="shared" si="3"/>
        <v/>
      </c>
      <c r="M182" s="32" t="str">
        <f t="shared" si="4"/>
        <v/>
      </c>
      <c r="N182" s="9" t="str">
        <f t="shared" si="5"/>
        <v/>
      </c>
      <c r="O182" s="9" t="str">
        <f t="shared" si="6"/>
        <v/>
      </c>
      <c r="P182" s="9" t="str">
        <f t="shared" si="7"/>
        <v/>
      </c>
      <c r="Q182" s="9" t="str">
        <f t="shared" si="8"/>
        <v/>
      </c>
      <c r="R182" s="9" t="str">
        <f t="shared" si="9"/>
        <v/>
      </c>
    </row>
    <row r="183">
      <c r="A183" s="1" t="str">
        <f t="shared" si="1"/>
        <v/>
      </c>
      <c r="G183" s="9" t="str">
        <f>IFERROR(__xludf.DUMMYFUNCTION("IF(B183="""","""",ROUND(XLOOKUP(B183, FLATTEN(B$1:E182), FLATTEN(O$1:R182), 500, 0, -1)))"),"")</f>
        <v/>
      </c>
      <c r="H183" s="9" t="str">
        <f>IFERROR(__xludf.DUMMYFUNCTION("IF(C183="""","""",ROUND(XLOOKUP(C183, FLATTEN(B$1:E182), FLATTEN(O$1:R182), 500, 0, -1)))"),"")</f>
        <v/>
      </c>
      <c r="I183" s="9" t="str">
        <f>IFERROR(__xludf.DUMMYFUNCTION("IF(D183="""","""",ROUND(XLOOKUP(D183, FLATTEN(B$1:E182), FLATTEN(O$1:R182), 500, 0, -1)))"),"")</f>
        <v/>
      </c>
      <c r="J183" s="9" t="str">
        <f>IFERROR(__xludf.DUMMYFUNCTION("IF(E183="""","""",ROUND(XLOOKUP(E183, FLATTEN(B$1:E182), FLATTEN(O$1:R182), 500, 0, -1)))"),"")</f>
        <v/>
      </c>
      <c r="K183" s="9" t="str">
        <f t="shared" si="2"/>
        <v/>
      </c>
      <c r="L183" s="9" t="str">
        <f t="shared" si="3"/>
        <v/>
      </c>
      <c r="M183" s="32" t="str">
        <f t="shared" si="4"/>
        <v/>
      </c>
      <c r="N183" s="9" t="str">
        <f t="shared" si="5"/>
        <v/>
      </c>
      <c r="O183" s="9" t="str">
        <f t="shared" si="6"/>
        <v/>
      </c>
      <c r="P183" s="9" t="str">
        <f t="shared" si="7"/>
        <v/>
      </c>
      <c r="Q183" s="9" t="str">
        <f t="shared" si="8"/>
        <v/>
      </c>
      <c r="R183" s="9" t="str">
        <f t="shared" si="9"/>
        <v/>
      </c>
    </row>
    <row r="184">
      <c r="A184" s="1" t="str">
        <f t="shared" si="1"/>
        <v/>
      </c>
      <c r="G184" s="9" t="str">
        <f>IFERROR(__xludf.DUMMYFUNCTION("IF(B184="""","""",ROUND(XLOOKUP(B184, FLATTEN(B$1:E183), FLATTEN(O$1:R183), 500, 0, -1)))"),"")</f>
        <v/>
      </c>
      <c r="H184" s="9" t="str">
        <f>IFERROR(__xludf.DUMMYFUNCTION("IF(C184="""","""",ROUND(XLOOKUP(C184, FLATTEN(B$1:E183), FLATTEN(O$1:R183), 500, 0, -1)))"),"")</f>
        <v/>
      </c>
      <c r="I184" s="9" t="str">
        <f>IFERROR(__xludf.DUMMYFUNCTION("IF(D184="""","""",ROUND(XLOOKUP(D184, FLATTEN(B$1:E183), FLATTEN(O$1:R183), 500, 0, -1)))"),"")</f>
        <v/>
      </c>
      <c r="J184" s="9" t="str">
        <f>IFERROR(__xludf.DUMMYFUNCTION("IF(E184="""","""",ROUND(XLOOKUP(E184, FLATTEN(B$1:E183), FLATTEN(O$1:R183), 500, 0, -1)))"),"")</f>
        <v/>
      </c>
      <c r="K184" s="9" t="str">
        <f t="shared" si="2"/>
        <v/>
      </c>
      <c r="L184" s="9" t="str">
        <f t="shared" si="3"/>
        <v/>
      </c>
      <c r="M184" s="32" t="str">
        <f t="shared" si="4"/>
        <v/>
      </c>
      <c r="N184" s="9" t="str">
        <f t="shared" si="5"/>
        <v/>
      </c>
      <c r="O184" s="9" t="str">
        <f t="shared" si="6"/>
        <v/>
      </c>
      <c r="P184" s="9" t="str">
        <f t="shared" si="7"/>
        <v/>
      </c>
      <c r="Q184" s="9" t="str">
        <f t="shared" si="8"/>
        <v/>
      </c>
      <c r="R184" s="9" t="str">
        <f t="shared" si="9"/>
        <v/>
      </c>
    </row>
    <row r="185">
      <c r="A185" s="1" t="str">
        <f t="shared" si="1"/>
        <v/>
      </c>
      <c r="G185" s="9" t="str">
        <f>IFERROR(__xludf.DUMMYFUNCTION("IF(B185="""","""",ROUND(XLOOKUP(B185, FLATTEN(B$1:E184), FLATTEN(O$1:R184), 500, 0, -1)))"),"")</f>
        <v/>
      </c>
      <c r="H185" s="9" t="str">
        <f>IFERROR(__xludf.DUMMYFUNCTION("IF(C185="""","""",ROUND(XLOOKUP(C185, FLATTEN(B$1:E184), FLATTEN(O$1:R184), 500, 0, -1)))"),"")</f>
        <v/>
      </c>
      <c r="I185" s="9" t="str">
        <f>IFERROR(__xludf.DUMMYFUNCTION("IF(D185="""","""",ROUND(XLOOKUP(D185, FLATTEN(B$1:E184), FLATTEN(O$1:R184), 500, 0, -1)))"),"")</f>
        <v/>
      </c>
      <c r="J185" s="9" t="str">
        <f>IFERROR(__xludf.DUMMYFUNCTION("IF(E185="""","""",ROUND(XLOOKUP(E185, FLATTEN(B$1:E184), FLATTEN(O$1:R184), 500, 0, -1)))"),"")</f>
        <v/>
      </c>
      <c r="K185" s="9" t="str">
        <f t="shared" si="2"/>
        <v/>
      </c>
      <c r="L185" s="9" t="str">
        <f t="shared" si="3"/>
        <v/>
      </c>
      <c r="M185" s="32" t="str">
        <f t="shared" si="4"/>
        <v/>
      </c>
      <c r="N185" s="9" t="str">
        <f t="shared" si="5"/>
        <v/>
      </c>
      <c r="O185" s="9" t="str">
        <f t="shared" si="6"/>
        <v/>
      </c>
      <c r="P185" s="9" t="str">
        <f t="shared" si="7"/>
        <v/>
      </c>
      <c r="Q185" s="9" t="str">
        <f t="shared" si="8"/>
        <v/>
      </c>
      <c r="R185" s="9" t="str">
        <f t="shared" si="9"/>
        <v/>
      </c>
    </row>
    <row r="186">
      <c r="A186" s="1" t="str">
        <f t="shared" si="1"/>
        <v/>
      </c>
      <c r="G186" s="9" t="str">
        <f>IFERROR(__xludf.DUMMYFUNCTION("IF(B186="""","""",ROUND(XLOOKUP(B186, FLATTEN(B$1:E185), FLATTEN(O$1:R185), 500, 0, -1)))"),"")</f>
        <v/>
      </c>
      <c r="H186" s="9" t="str">
        <f>IFERROR(__xludf.DUMMYFUNCTION("IF(C186="""","""",ROUND(XLOOKUP(C186, FLATTEN(B$1:E185), FLATTEN(O$1:R185), 500, 0, -1)))"),"")</f>
        <v/>
      </c>
      <c r="I186" s="9" t="str">
        <f>IFERROR(__xludf.DUMMYFUNCTION("IF(D186="""","""",ROUND(XLOOKUP(D186, FLATTEN(B$1:E185), FLATTEN(O$1:R185), 500, 0, -1)))"),"")</f>
        <v/>
      </c>
      <c r="J186" s="9" t="str">
        <f>IFERROR(__xludf.DUMMYFUNCTION("IF(E186="""","""",ROUND(XLOOKUP(E186, FLATTEN(B$1:E185), FLATTEN(O$1:R185), 500, 0, -1)))"),"")</f>
        <v/>
      </c>
      <c r="K186" s="9" t="str">
        <f t="shared" si="2"/>
        <v/>
      </c>
      <c r="L186" s="9" t="str">
        <f t="shared" si="3"/>
        <v/>
      </c>
      <c r="M186" s="32" t="str">
        <f t="shared" si="4"/>
        <v/>
      </c>
      <c r="N186" s="9" t="str">
        <f t="shared" si="5"/>
        <v/>
      </c>
      <c r="O186" s="9" t="str">
        <f t="shared" si="6"/>
        <v/>
      </c>
      <c r="P186" s="9" t="str">
        <f t="shared" si="7"/>
        <v/>
      </c>
      <c r="Q186" s="9" t="str">
        <f t="shared" si="8"/>
        <v/>
      </c>
      <c r="R186" s="9" t="str">
        <f t="shared" si="9"/>
        <v/>
      </c>
    </row>
    <row r="187">
      <c r="A187" s="1" t="str">
        <f t="shared" si="1"/>
        <v/>
      </c>
      <c r="G187" s="9" t="str">
        <f>IFERROR(__xludf.DUMMYFUNCTION("IF(B187="""","""",ROUND(XLOOKUP(B187, FLATTEN(B$1:E186), FLATTEN(O$1:R186), 500, 0, -1)))"),"")</f>
        <v/>
      </c>
      <c r="H187" s="9" t="str">
        <f>IFERROR(__xludf.DUMMYFUNCTION("IF(C187="""","""",ROUND(XLOOKUP(C187, FLATTEN(B$1:E186), FLATTEN(O$1:R186), 500, 0, -1)))"),"")</f>
        <v/>
      </c>
      <c r="I187" s="9" t="str">
        <f>IFERROR(__xludf.DUMMYFUNCTION("IF(D187="""","""",ROUND(XLOOKUP(D187, FLATTEN(B$1:E186), FLATTEN(O$1:R186), 500, 0, -1)))"),"")</f>
        <v/>
      </c>
      <c r="J187" s="9" t="str">
        <f>IFERROR(__xludf.DUMMYFUNCTION("IF(E187="""","""",ROUND(XLOOKUP(E187, FLATTEN(B$1:E186), FLATTEN(O$1:R186), 500, 0, -1)))"),"")</f>
        <v/>
      </c>
      <c r="K187" s="9" t="str">
        <f t="shared" si="2"/>
        <v/>
      </c>
      <c r="L187" s="9" t="str">
        <f t="shared" si="3"/>
        <v/>
      </c>
      <c r="M187" s="32" t="str">
        <f t="shared" si="4"/>
        <v/>
      </c>
      <c r="N187" s="9" t="str">
        <f t="shared" si="5"/>
        <v/>
      </c>
      <c r="O187" s="9" t="str">
        <f t="shared" si="6"/>
        <v/>
      </c>
      <c r="P187" s="9" t="str">
        <f t="shared" si="7"/>
        <v/>
      </c>
      <c r="Q187" s="9" t="str">
        <f t="shared" si="8"/>
        <v/>
      </c>
      <c r="R187" s="9" t="str">
        <f t="shared" si="9"/>
        <v/>
      </c>
    </row>
    <row r="188">
      <c r="A188" s="1" t="str">
        <f t="shared" si="1"/>
        <v/>
      </c>
      <c r="G188" s="9" t="str">
        <f>IFERROR(__xludf.DUMMYFUNCTION("IF(B188="""","""",ROUND(XLOOKUP(B188, FLATTEN(B$1:E187), FLATTEN(O$1:R187), 500, 0, -1)))"),"")</f>
        <v/>
      </c>
      <c r="H188" s="9" t="str">
        <f>IFERROR(__xludf.DUMMYFUNCTION("IF(C188="""","""",ROUND(XLOOKUP(C188, FLATTEN(B$1:E187), FLATTEN(O$1:R187), 500, 0, -1)))"),"")</f>
        <v/>
      </c>
      <c r="I188" s="9" t="str">
        <f>IFERROR(__xludf.DUMMYFUNCTION("IF(D188="""","""",ROUND(XLOOKUP(D188, FLATTEN(B$1:E187), FLATTEN(O$1:R187), 500, 0, -1)))"),"")</f>
        <v/>
      </c>
      <c r="J188" s="9" t="str">
        <f>IFERROR(__xludf.DUMMYFUNCTION("IF(E188="""","""",ROUND(XLOOKUP(E188, FLATTEN(B$1:E187), FLATTEN(O$1:R187), 500, 0, -1)))"),"")</f>
        <v/>
      </c>
      <c r="K188" s="9" t="str">
        <f t="shared" si="2"/>
        <v/>
      </c>
      <c r="L188" s="9" t="str">
        <f t="shared" si="3"/>
        <v/>
      </c>
      <c r="M188" s="32" t="str">
        <f t="shared" si="4"/>
        <v/>
      </c>
      <c r="N188" s="9" t="str">
        <f t="shared" si="5"/>
        <v/>
      </c>
      <c r="O188" s="9" t="str">
        <f t="shared" si="6"/>
        <v/>
      </c>
      <c r="P188" s="9" t="str">
        <f t="shared" si="7"/>
        <v/>
      </c>
      <c r="Q188" s="9" t="str">
        <f t="shared" si="8"/>
        <v/>
      </c>
      <c r="R188" s="9" t="str">
        <f t="shared" si="9"/>
        <v/>
      </c>
    </row>
    <row r="189">
      <c r="A189" s="1" t="str">
        <f t="shared" si="1"/>
        <v/>
      </c>
      <c r="G189" s="9" t="str">
        <f>IFERROR(__xludf.DUMMYFUNCTION("IF(B189="""","""",ROUND(XLOOKUP(B189, FLATTEN(B$1:E188), FLATTEN(O$1:R188), 500, 0, -1)))"),"")</f>
        <v/>
      </c>
      <c r="H189" s="9" t="str">
        <f>IFERROR(__xludf.DUMMYFUNCTION("IF(C189="""","""",ROUND(XLOOKUP(C189, FLATTEN(B$1:E188), FLATTEN(O$1:R188), 500, 0, -1)))"),"")</f>
        <v/>
      </c>
      <c r="I189" s="9" t="str">
        <f>IFERROR(__xludf.DUMMYFUNCTION("IF(D189="""","""",ROUND(XLOOKUP(D189, FLATTEN(B$1:E188), FLATTEN(O$1:R188), 500, 0, -1)))"),"")</f>
        <v/>
      </c>
      <c r="J189" s="9" t="str">
        <f>IFERROR(__xludf.DUMMYFUNCTION("IF(E189="""","""",ROUND(XLOOKUP(E189, FLATTEN(B$1:E188), FLATTEN(O$1:R188), 500, 0, -1)))"),"")</f>
        <v/>
      </c>
      <c r="K189" s="9" t="str">
        <f t="shared" si="2"/>
        <v/>
      </c>
      <c r="L189" s="9" t="str">
        <f t="shared" si="3"/>
        <v/>
      </c>
      <c r="M189" s="32" t="str">
        <f t="shared" si="4"/>
        <v/>
      </c>
      <c r="N189" s="9" t="str">
        <f t="shared" si="5"/>
        <v/>
      </c>
      <c r="O189" s="9" t="str">
        <f t="shared" si="6"/>
        <v/>
      </c>
      <c r="P189" s="9" t="str">
        <f t="shared" si="7"/>
        <v/>
      </c>
      <c r="Q189" s="9" t="str">
        <f t="shared" si="8"/>
        <v/>
      </c>
      <c r="R189" s="9" t="str">
        <f t="shared" si="9"/>
        <v/>
      </c>
    </row>
    <row r="190">
      <c r="A190" s="1" t="str">
        <f t="shared" si="1"/>
        <v/>
      </c>
      <c r="G190" s="9" t="str">
        <f>IFERROR(__xludf.DUMMYFUNCTION("IF(B190="""","""",ROUND(XLOOKUP(B190, FLATTEN(B$1:E189), FLATTEN(O$1:R189), 500, 0, -1)))"),"")</f>
        <v/>
      </c>
      <c r="H190" s="9" t="str">
        <f>IFERROR(__xludf.DUMMYFUNCTION("IF(C190="""","""",ROUND(XLOOKUP(C190, FLATTEN(B$1:E189), FLATTEN(O$1:R189), 500, 0, -1)))"),"")</f>
        <v/>
      </c>
      <c r="I190" s="9" t="str">
        <f>IFERROR(__xludf.DUMMYFUNCTION("IF(D190="""","""",ROUND(XLOOKUP(D190, FLATTEN(B$1:E189), FLATTEN(O$1:R189), 500, 0, -1)))"),"")</f>
        <v/>
      </c>
      <c r="J190" s="9" t="str">
        <f>IFERROR(__xludf.DUMMYFUNCTION("IF(E190="""","""",ROUND(XLOOKUP(E190, FLATTEN(B$1:E189), FLATTEN(O$1:R189), 500, 0, -1)))"),"")</f>
        <v/>
      </c>
      <c r="K190" s="9" t="str">
        <f t="shared" si="2"/>
        <v/>
      </c>
      <c r="L190" s="9" t="str">
        <f t="shared" si="3"/>
        <v/>
      </c>
      <c r="M190" s="32" t="str">
        <f t="shared" si="4"/>
        <v/>
      </c>
      <c r="N190" s="9" t="str">
        <f t="shared" si="5"/>
        <v/>
      </c>
      <c r="O190" s="9" t="str">
        <f t="shared" si="6"/>
        <v/>
      </c>
      <c r="P190" s="9" t="str">
        <f t="shared" si="7"/>
        <v/>
      </c>
      <c r="Q190" s="9" t="str">
        <f t="shared" si="8"/>
        <v/>
      </c>
      <c r="R190" s="9" t="str">
        <f t="shared" si="9"/>
        <v/>
      </c>
    </row>
    <row r="191">
      <c r="A191" s="1" t="str">
        <f t="shared" si="1"/>
        <v/>
      </c>
      <c r="G191" s="9" t="str">
        <f>IFERROR(__xludf.DUMMYFUNCTION("IF(B191="""","""",ROUND(XLOOKUP(B191, FLATTEN(B$1:E190), FLATTEN(O$1:R190), 500, 0, -1)))"),"")</f>
        <v/>
      </c>
      <c r="H191" s="9" t="str">
        <f>IFERROR(__xludf.DUMMYFUNCTION("IF(C191="""","""",ROUND(XLOOKUP(C191, FLATTEN(B$1:E190), FLATTEN(O$1:R190), 500, 0, -1)))"),"")</f>
        <v/>
      </c>
      <c r="I191" s="9" t="str">
        <f>IFERROR(__xludf.DUMMYFUNCTION("IF(D191="""","""",ROUND(XLOOKUP(D191, FLATTEN(B$1:E190), FLATTEN(O$1:R190), 500, 0, -1)))"),"")</f>
        <v/>
      </c>
      <c r="J191" s="9" t="str">
        <f>IFERROR(__xludf.DUMMYFUNCTION("IF(E191="""","""",ROUND(XLOOKUP(E191, FLATTEN(B$1:E190), FLATTEN(O$1:R190), 500, 0, -1)))"),"")</f>
        <v/>
      </c>
      <c r="K191" s="9" t="str">
        <f t="shared" si="2"/>
        <v/>
      </c>
      <c r="L191" s="9" t="str">
        <f t="shared" si="3"/>
        <v/>
      </c>
      <c r="M191" s="32" t="str">
        <f t="shared" si="4"/>
        <v/>
      </c>
      <c r="N191" s="9" t="str">
        <f t="shared" si="5"/>
        <v/>
      </c>
      <c r="O191" s="9" t="str">
        <f t="shared" si="6"/>
        <v/>
      </c>
      <c r="P191" s="9" t="str">
        <f t="shared" si="7"/>
        <v/>
      </c>
      <c r="Q191" s="9" t="str">
        <f t="shared" si="8"/>
        <v/>
      </c>
      <c r="R191" s="9" t="str">
        <f t="shared" si="9"/>
        <v/>
      </c>
    </row>
    <row r="192">
      <c r="A192" s="1" t="str">
        <f t="shared" si="1"/>
        <v/>
      </c>
      <c r="G192" s="9" t="str">
        <f>IFERROR(__xludf.DUMMYFUNCTION("IF(B192="""","""",ROUND(XLOOKUP(B192, FLATTEN(B$1:E191), FLATTEN(O$1:R191), 500, 0, -1)))"),"")</f>
        <v/>
      </c>
      <c r="H192" s="9" t="str">
        <f>IFERROR(__xludf.DUMMYFUNCTION("IF(C192="""","""",ROUND(XLOOKUP(C192, FLATTEN(B$1:E191), FLATTEN(O$1:R191), 500, 0, -1)))"),"")</f>
        <v/>
      </c>
      <c r="I192" s="9" t="str">
        <f>IFERROR(__xludf.DUMMYFUNCTION("IF(D192="""","""",ROUND(XLOOKUP(D192, FLATTEN(B$1:E191), FLATTEN(O$1:R191), 500, 0, -1)))"),"")</f>
        <v/>
      </c>
      <c r="J192" s="9" t="str">
        <f>IFERROR(__xludf.DUMMYFUNCTION("IF(E192="""","""",ROUND(XLOOKUP(E192, FLATTEN(B$1:E191), FLATTEN(O$1:R191), 500, 0, -1)))"),"")</f>
        <v/>
      </c>
      <c r="K192" s="9" t="str">
        <f t="shared" si="2"/>
        <v/>
      </c>
      <c r="L192" s="9" t="str">
        <f t="shared" si="3"/>
        <v/>
      </c>
      <c r="M192" s="32" t="str">
        <f t="shared" si="4"/>
        <v/>
      </c>
      <c r="N192" s="9" t="str">
        <f t="shared" si="5"/>
        <v/>
      </c>
      <c r="O192" s="9" t="str">
        <f t="shared" si="6"/>
        <v/>
      </c>
      <c r="P192" s="9" t="str">
        <f t="shared" si="7"/>
        <v/>
      </c>
      <c r="Q192" s="9" t="str">
        <f t="shared" si="8"/>
        <v/>
      </c>
      <c r="R192" s="9" t="str">
        <f t="shared" si="9"/>
        <v/>
      </c>
    </row>
    <row r="193">
      <c r="A193" s="1" t="str">
        <f t="shared" si="1"/>
        <v/>
      </c>
      <c r="G193" s="9" t="str">
        <f>IFERROR(__xludf.DUMMYFUNCTION("IF(B193="""","""",ROUND(XLOOKUP(B193, FLATTEN(B$1:E192), FLATTEN(O$1:R192), 500, 0, -1)))"),"")</f>
        <v/>
      </c>
      <c r="H193" s="9" t="str">
        <f>IFERROR(__xludf.DUMMYFUNCTION("IF(C193="""","""",ROUND(XLOOKUP(C193, FLATTEN(B$1:E192), FLATTEN(O$1:R192), 500, 0, -1)))"),"")</f>
        <v/>
      </c>
      <c r="I193" s="9" t="str">
        <f>IFERROR(__xludf.DUMMYFUNCTION("IF(D193="""","""",ROUND(XLOOKUP(D193, FLATTEN(B$1:E192), FLATTEN(O$1:R192), 500, 0, -1)))"),"")</f>
        <v/>
      </c>
      <c r="J193" s="9" t="str">
        <f>IFERROR(__xludf.DUMMYFUNCTION("IF(E193="""","""",ROUND(XLOOKUP(E193, FLATTEN(B$1:E192), FLATTEN(O$1:R192), 500, 0, -1)))"),"")</f>
        <v/>
      </c>
      <c r="K193" s="9" t="str">
        <f t="shared" si="2"/>
        <v/>
      </c>
      <c r="L193" s="9" t="str">
        <f t="shared" si="3"/>
        <v/>
      </c>
      <c r="M193" s="32" t="str">
        <f t="shared" si="4"/>
        <v/>
      </c>
      <c r="N193" s="9" t="str">
        <f t="shared" si="5"/>
        <v/>
      </c>
      <c r="O193" s="9" t="str">
        <f t="shared" si="6"/>
        <v/>
      </c>
      <c r="P193" s="9" t="str">
        <f t="shared" si="7"/>
        <v/>
      </c>
      <c r="Q193" s="9" t="str">
        <f t="shared" si="8"/>
        <v/>
      </c>
      <c r="R193" s="9" t="str">
        <f t="shared" si="9"/>
        <v/>
      </c>
    </row>
    <row r="194">
      <c r="A194" s="1" t="str">
        <f t="shared" si="1"/>
        <v/>
      </c>
      <c r="G194" s="9" t="str">
        <f>IFERROR(__xludf.DUMMYFUNCTION("IF(B194="""","""",ROUND(XLOOKUP(B194, FLATTEN(B$1:E193), FLATTEN(O$1:R193), 500, 0, -1)))"),"")</f>
        <v/>
      </c>
      <c r="H194" s="9" t="str">
        <f>IFERROR(__xludf.DUMMYFUNCTION("IF(C194="""","""",ROUND(XLOOKUP(C194, FLATTEN(B$1:E193), FLATTEN(O$1:R193), 500, 0, -1)))"),"")</f>
        <v/>
      </c>
      <c r="I194" s="9" t="str">
        <f>IFERROR(__xludf.DUMMYFUNCTION("IF(D194="""","""",ROUND(XLOOKUP(D194, FLATTEN(B$1:E193), FLATTEN(O$1:R193), 500, 0, -1)))"),"")</f>
        <v/>
      </c>
      <c r="J194" s="9" t="str">
        <f>IFERROR(__xludf.DUMMYFUNCTION("IF(E194="""","""",ROUND(XLOOKUP(E194, FLATTEN(B$1:E193), FLATTEN(O$1:R193), 500, 0, -1)))"),"")</f>
        <v/>
      </c>
      <c r="K194" s="9" t="str">
        <f t="shared" si="2"/>
        <v/>
      </c>
      <c r="L194" s="9" t="str">
        <f t="shared" si="3"/>
        <v/>
      </c>
      <c r="M194" s="32" t="str">
        <f t="shared" si="4"/>
        <v/>
      </c>
      <c r="N194" s="9" t="str">
        <f t="shared" si="5"/>
        <v/>
      </c>
      <c r="O194" s="9" t="str">
        <f t="shared" si="6"/>
        <v/>
      </c>
      <c r="P194" s="9" t="str">
        <f t="shared" si="7"/>
        <v/>
      </c>
      <c r="Q194" s="9" t="str">
        <f t="shared" si="8"/>
        <v/>
      </c>
      <c r="R194" s="9" t="str">
        <f t="shared" si="9"/>
        <v/>
      </c>
    </row>
    <row r="195">
      <c r="A195" s="1" t="str">
        <f t="shared" si="1"/>
        <v/>
      </c>
      <c r="G195" s="9" t="str">
        <f>IFERROR(__xludf.DUMMYFUNCTION("IF(B195="""","""",ROUND(XLOOKUP(B195, FLATTEN(B$1:E194), FLATTEN(O$1:R194), 500, 0, -1)))"),"")</f>
        <v/>
      </c>
      <c r="H195" s="9" t="str">
        <f>IFERROR(__xludf.DUMMYFUNCTION("IF(C195="""","""",ROUND(XLOOKUP(C195, FLATTEN(B$1:E194), FLATTEN(O$1:R194), 500, 0, -1)))"),"")</f>
        <v/>
      </c>
      <c r="I195" s="9" t="str">
        <f>IFERROR(__xludf.DUMMYFUNCTION("IF(D195="""","""",ROUND(XLOOKUP(D195, FLATTEN(B$1:E194), FLATTEN(O$1:R194), 500, 0, -1)))"),"")</f>
        <v/>
      </c>
      <c r="J195" s="9" t="str">
        <f>IFERROR(__xludf.DUMMYFUNCTION("IF(E195="""","""",ROUND(XLOOKUP(E195, FLATTEN(B$1:E194), FLATTEN(O$1:R194), 500, 0, -1)))"),"")</f>
        <v/>
      </c>
      <c r="K195" s="9" t="str">
        <f t="shared" si="2"/>
        <v/>
      </c>
      <c r="L195" s="9" t="str">
        <f t="shared" si="3"/>
        <v/>
      </c>
      <c r="M195" s="32" t="str">
        <f t="shared" si="4"/>
        <v/>
      </c>
      <c r="N195" s="9" t="str">
        <f t="shared" si="5"/>
        <v/>
      </c>
      <c r="O195" s="9" t="str">
        <f t="shared" si="6"/>
        <v/>
      </c>
      <c r="P195" s="9" t="str">
        <f t="shared" si="7"/>
        <v/>
      </c>
      <c r="Q195" s="9" t="str">
        <f t="shared" si="8"/>
        <v/>
      </c>
      <c r="R195" s="9" t="str">
        <f t="shared" si="9"/>
        <v/>
      </c>
    </row>
    <row r="196">
      <c r="A196" s="1" t="str">
        <f t="shared" si="1"/>
        <v/>
      </c>
      <c r="G196" s="9" t="str">
        <f>IFERROR(__xludf.DUMMYFUNCTION("IF(B196="""","""",ROUND(XLOOKUP(B196, FLATTEN(B$1:E195), FLATTEN(O$1:R195), 500, 0, -1)))"),"")</f>
        <v/>
      </c>
      <c r="H196" s="9" t="str">
        <f>IFERROR(__xludf.DUMMYFUNCTION("IF(C196="""","""",ROUND(XLOOKUP(C196, FLATTEN(B$1:E195), FLATTEN(O$1:R195), 500, 0, -1)))"),"")</f>
        <v/>
      </c>
      <c r="I196" s="9" t="str">
        <f>IFERROR(__xludf.DUMMYFUNCTION("IF(D196="""","""",ROUND(XLOOKUP(D196, FLATTEN(B$1:E195), FLATTEN(O$1:R195), 500, 0, -1)))"),"")</f>
        <v/>
      </c>
      <c r="J196" s="9" t="str">
        <f>IFERROR(__xludf.DUMMYFUNCTION("IF(E196="""","""",ROUND(XLOOKUP(E196, FLATTEN(B$1:E195), FLATTEN(O$1:R195), 500, 0, -1)))"),"")</f>
        <v/>
      </c>
      <c r="K196" s="9" t="str">
        <f t="shared" si="2"/>
        <v/>
      </c>
      <c r="L196" s="9" t="str">
        <f t="shared" si="3"/>
        <v/>
      </c>
      <c r="M196" s="32" t="str">
        <f t="shared" si="4"/>
        <v/>
      </c>
      <c r="N196" s="9" t="str">
        <f t="shared" si="5"/>
        <v/>
      </c>
      <c r="O196" s="9" t="str">
        <f t="shared" si="6"/>
        <v/>
      </c>
      <c r="P196" s="9" t="str">
        <f t="shared" si="7"/>
        <v/>
      </c>
      <c r="Q196" s="9" t="str">
        <f t="shared" si="8"/>
        <v/>
      </c>
      <c r="R196" s="9" t="str">
        <f t="shared" si="9"/>
        <v/>
      </c>
    </row>
    <row r="197">
      <c r="A197" s="1" t="str">
        <f t="shared" si="1"/>
        <v/>
      </c>
      <c r="G197" s="9" t="str">
        <f>IFERROR(__xludf.DUMMYFUNCTION("IF(B197="""","""",ROUND(XLOOKUP(B197, FLATTEN(B$1:E196), FLATTEN(O$1:R196), 500, 0, -1)))"),"")</f>
        <v/>
      </c>
      <c r="H197" s="9" t="str">
        <f>IFERROR(__xludf.DUMMYFUNCTION("IF(C197="""","""",ROUND(XLOOKUP(C197, FLATTEN(B$1:E196), FLATTEN(O$1:R196), 500, 0, -1)))"),"")</f>
        <v/>
      </c>
      <c r="I197" s="9" t="str">
        <f>IFERROR(__xludf.DUMMYFUNCTION("IF(D197="""","""",ROUND(XLOOKUP(D197, FLATTEN(B$1:E196), FLATTEN(O$1:R196), 500, 0, -1)))"),"")</f>
        <v/>
      </c>
      <c r="J197" s="9" t="str">
        <f>IFERROR(__xludf.DUMMYFUNCTION("IF(E197="""","""",ROUND(XLOOKUP(E197, FLATTEN(B$1:E196), FLATTEN(O$1:R196), 500, 0, -1)))"),"")</f>
        <v/>
      </c>
      <c r="K197" s="9" t="str">
        <f t="shared" si="2"/>
        <v/>
      </c>
      <c r="L197" s="9" t="str">
        <f t="shared" si="3"/>
        <v/>
      </c>
      <c r="M197" s="32" t="str">
        <f t="shared" si="4"/>
        <v/>
      </c>
      <c r="N197" s="9" t="str">
        <f t="shared" si="5"/>
        <v/>
      </c>
      <c r="O197" s="9" t="str">
        <f t="shared" si="6"/>
        <v/>
      </c>
      <c r="P197" s="9" t="str">
        <f t="shared" si="7"/>
        <v/>
      </c>
      <c r="Q197" s="9" t="str">
        <f t="shared" si="8"/>
        <v/>
      </c>
      <c r="R197" s="9" t="str">
        <f t="shared" si="9"/>
        <v/>
      </c>
    </row>
    <row r="198">
      <c r="A198" s="1" t="str">
        <f t="shared" si="1"/>
        <v/>
      </c>
      <c r="G198" s="9" t="str">
        <f>IFERROR(__xludf.DUMMYFUNCTION("IF(B198="""","""",ROUND(XLOOKUP(B198, FLATTEN(B$1:E197), FLATTEN(O$1:R197), 500, 0, -1)))"),"")</f>
        <v/>
      </c>
      <c r="H198" s="9" t="str">
        <f>IFERROR(__xludf.DUMMYFUNCTION("IF(C198="""","""",ROUND(XLOOKUP(C198, FLATTEN(B$1:E197), FLATTEN(O$1:R197), 500, 0, -1)))"),"")</f>
        <v/>
      </c>
      <c r="I198" s="9" t="str">
        <f>IFERROR(__xludf.DUMMYFUNCTION("IF(D198="""","""",ROUND(XLOOKUP(D198, FLATTEN(B$1:E197), FLATTEN(O$1:R197), 500, 0, -1)))"),"")</f>
        <v/>
      </c>
      <c r="J198" s="9" t="str">
        <f>IFERROR(__xludf.DUMMYFUNCTION("IF(E198="""","""",ROUND(XLOOKUP(E198, FLATTEN(B$1:E197), FLATTEN(O$1:R197), 500, 0, -1)))"),"")</f>
        <v/>
      </c>
      <c r="K198" s="9" t="str">
        <f t="shared" si="2"/>
        <v/>
      </c>
      <c r="L198" s="9" t="str">
        <f t="shared" si="3"/>
        <v/>
      </c>
      <c r="M198" s="32" t="str">
        <f t="shared" si="4"/>
        <v/>
      </c>
      <c r="N198" s="9" t="str">
        <f t="shared" si="5"/>
        <v/>
      </c>
      <c r="O198" s="9" t="str">
        <f t="shared" si="6"/>
        <v/>
      </c>
      <c r="P198" s="9" t="str">
        <f t="shared" si="7"/>
        <v/>
      </c>
      <c r="Q198" s="9" t="str">
        <f t="shared" si="8"/>
        <v/>
      </c>
      <c r="R198" s="9" t="str">
        <f t="shared" si="9"/>
        <v/>
      </c>
    </row>
    <row r="199">
      <c r="A199" s="1" t="str">
        <f t="shared" si="1"/>
        <v/>
      </c>
      <c r="G199" s="9" t="str">
        <f>IFERROR(__xludf.DUMMYFUNCTION("IF(B199="""","""",ROUND(XLOOKUP(B199, FLATTEN(B$1:E198), FLATTEN(O$1:R198), 500, 0, -1)))"),"")</f>
        <v/>
      </c>
      <c r="H199" s="9" t="str">
        <f>IFERROR(__xludf.DUMMYFUNCTION("IF(C199="""","""",ROUND(XLOOKUP(C199, FLATTEN(B$1:E198), FLATTEN(O$1:R198), 500, 0, -1)))"),"")</f>
        <v/>
      </c>
      <c r="I199" s="9" t="str">
        <f>IFERROR(__xludf.DUMMYFUNCTION("IF(D199="""","""",ROUND(XLOOKUP(D199, FLATTEN(B$1:E198), FLATTEN(O$1:R198), 500, 0, -1)))"),"")</f>
        <v/>
      </c>
      <c r="J199" s="9" t="str">
        <f>IFERROR(__xludf.DUMMYFUNCTION("IF(E199="""","""",ROUND(XLOOKUP(E199, FLATTEN(B$1:E198), FLATTEN(O$1:R198), 500, 0, -1)))"),"")</f>
        <v/>
      </c>
      <c r="K199" s="9" t="str">
        <f t="shared" si="2"/>
        <v/>
      </c>
      <c r="L199" s="9" t="str">
        <f t="shared" si="3"/>
        <v/>
      </c>
      <c r="M199" s="32" t="str">
        <f t="shared" si="4"/>
        <v/>
      </c>
      <c r="N199" s="9" t="str">
        <f t="shared" si="5"/>
        <v/>
      </c>
      <c r="O199" s="9" t="str">
        <f t="shared" si="6"/>
        <v/>
      </c>
      <c r="P199" s="9" t="str">
        <f t="shared" si="7"/>
        <v/>
      </c>
      <c r="Q199" s="9" t="str">
        <f t="shared" si="8"/>
        <v/>
      </c>
      <c r="R199" s="9" t="str">
        <f t="shared" si="9"/>
        <v/>
      </c>
    </row>
    <row r="200">
      <c r="A200" s="1" t="str">
        <f t="shared" si="1"/>
        <v/>
      </c>
      <c r="G200" s="9" t="str">
        <f>IFERROR(__xludf.DUMMYFUNCTION("IF(B200="""","""",ROUND(XLOOKUP(B200, FLATTEN(B$1:E199), FLATTEN(O$1:R199), 500, 0, -1)))"),"")</f>
        <v/>
      </c>
      <c r="H200" s="9" t="str">
        <f>IFERROR(__xludf.DUMMYFUNCTION("IF(C200="""","""",ROUND(XLOOKUP(C200, FLATTEN(B$1:E199), FLATTEN(O$1:R199), 500, 0, -1)))"),"")</f>
        <v/>
      </c>
      <c r="I200" s="9" t="str">
        <f>IFERROR(__xludf.DUMMYFUNCTION("IF(D200="""","""",ROUND(XLOOKUP(D200, FLATTEN(B$1:E199), FLATTEN(O$1:R199), 500, 0, -1)))"),"")</f>
        <v/>
      </c>
      <c r="J200" s="9" t="str">
        <f>IFERROR(__xludf.DUMMYFUNCTION("IF(E200="""","""",ROUND(XLOOKUP(E200, FLATTEN(B$1:E199), FLATTEN(O$1:R199), 500, 0, -1)))"),"")</f>
        <v/>
      </c>
      <c r="K200" s="9" t="str">
        <f t="shared" si="2"/>
        <v/>
      </c>
      <c r="L200" s="9" t="str">
        <f t="shared" si="3"/>
        <v/>
      </c>
      <c r="M200" s="32" t="str">
        <f t="shared" si="4"/>
        <v/>
      </c>
      <c r="N200" s="9" t="str">
        <f t="shared" si="5"/>
        <v/>
      </c>
      <c r="O200" s="9" t="str">
        <f t="shared" si="6"/>
        <v/>
      </c>
      <c r="P200" s="9" t="str">
        <f t="shared" si="7"/>
        <v/>
      </c>
      <c r="Q200" s="9" t="str">
        <f t="shared" si="8"/>
        <v/>
      </c>
      <c r="R200" s="9" t="str">
        <f t="shared" si="9"/>
        <v/>
      </c>
    </row>
    <row r="201">
      <c r="A201" s="1" t="str">
        <f t="shared" si="1"/>
        <v/>
      </c>
      <c r="G201" s="9" t="str">
        <f>IFERROR(__xludf.DUMMYFUNCTION("IF(B201="""","""",ROUND(XLOOKUP(B201, FLATTEN(B$1:E200), FLATTEN(O$1:R200), 500, 0, -1)))"),"")</f>
        <v/>
      </c>
      <c r="H201" s="9" t="str">
        <f>IFERROR(__xludf.DUMMYFUNCTION("IF(C201="""","""",ROUND(XLOOKUP(C201, FLATTEN(B$1:E200), FLATTEN(O$1:R200), 500, 0, -1)))"),"")</f>
        <v/>
      </c>
      <c r="I201" s="9" t="str">
        <f>IFERROR(__xludf.DUMMYFUNCTION("IF(D201="""","""",ROUND(XLOOKUP(D201, FLATTEN(B$1:E200), FLATTEN(O$1:R200), 500, 0, -1)))"),"")</f>
        <v/>
      </c>
      <c r="J201" s="9" t="str">
        <f>IFERROR(__xludf.DUMMYFUNCTION("IF(E201="""","""",ROUND(XLOOKUP(E201, FLATTEN(B$1:E200), FLATTEN(O$1:R200), 500, 0, -1)))"),"")</f>
        <v/>
      </c>
      <c r="K201" s="9" t="str">
        <f t="shared" si="2"/>
        <v/>
      </c>
      <c r="L201" s="9" t="str">
        <f t="shared" si="3"/>
        <v/>
      </c>
      <c r="M201" s="32" t="str">
        <f t="shared" si="4"/>
        <v/>
      </c>
      <c r="N201" s="9" t="str">
        <f t="shared" si="5"/>
        <v/>
      </c>
      <c r="O201" s="9" t="str">
        <f t="shared" si="6"/>
        <v/>
      </c>
      <c r="P201" s="9" t="str">
        <f t="shared" si="7"/>
        <v/>
      </c>
      <c r="Q201" s="9" t="str">
        <f t="shared" si="8"/>
        <v/>
      </c>
      <c r="R201" s="9" t="str">
        <f t="shared" si="9"/>
        <v/>
      </c>
    </row>
    <row r="202">
      <c r="A202" s="1" t="str">
        <f t="shared" si="1"/>
        <v/>
      </c>
      <c r="G202" s="9" t="str">
        <f>IFERROR(__xludf.DUMMYFUNCTION("IF(B202="""","""",ROUND(XLOOKUP(B202, FLATTEN(B$1:E201), FLATTEN(O$1:R201), 500, 0, -1)))"),"")</f>
        <v/>
      </c>
      <c r="H202" s="9" t="str">
        <f>IFERROR(__xludf.DUMMYFUNCTION("IF(C202="""","""",ROUND(XLOOKUP(C202, FLATTEN(B$1:E201), FLATTEN(O$1:R201), 500, 0, -1)))"),"")</f>
        <v/>
      </c>
      <c r="I202" s="9" t="str">
        <f>IFERROR(__xludf.DUMMYFUNCTION("IF(D202="""","""",ROUND(XLOOKUP(D202, FLATTEN(B$1:E201), FLATTEN(O$1:R201), 500, 0, -1)))"),"")</f>
        <v/>
      </c>
      <c r="J202" s="9" t="str">
        <f>IFERROR(__xludf.DUMMYFUNCTION("IF(E202="""","""",ROUND(XLOOKUP(E202, FLATTEN(B$1:E201), FLATTEN(O$1:R201), 500, 0, -1)))"),"")</f>
        <v/>
      </c>
      <c r="K202" s="9" t="str">
        <f t="shared" si="2"/>
        <v/>
      </c>
      <c r="L202" s="9" t="str">
        <f t="shared" si="3"/>
        <v/>
      </c>
      <c r="M202" s="32" t="str">
        <f t="shared" si="4"/>
        <v/>
      </c>
      <c r="N202" s="9" t="str">
        <f t="shared" si="5"/>
        <v/>
      </c>
      <c r="O202" s="9" t="str">
        <f t="shared" si="6"/>
        <v/>
      </c>
      <c r="P202" s="9" t="str">
        <f t="shared" si="7"/>
        <v/>
      </c>
      <c r="Q202" s="9" t="str">
        <f t="shared" si="8"/>
        <v/>
      </c>
      <c r="R202" s="9" t="str">
        <f t="shared" si="9"/>
        <v/>
      </c>
    </row>
    <row r="203">
      <c r="A203" s="1" t="str">
        <f t="shared" si="1"/>
        <v/>
      </c>
      <c r="G203" s="9" t="str">
        <f>IFERROR(__xludf.DUMMYFUNCTION("IF(B203="""","""",ROUND(XLOOKUP(B203, FLATTEN(B$1:E202), FLATTEN(O$1:R202), 500, 0, -1)))"),"")</f>
        <v/>
      </c>
      <c r="H203" s="9" t="str">
        <f>IFERROR(__xludf.DUMMYFUNCTION("IF(C203="""","""",ROUND(XLOOKUP(C203, FLATTEN(B$1:E202), FLATTEN(O$1:R202), 500, 0, -1)))"),"")</f>
        <v/>
      </c>
      <c r="I203" s="9" t="str">
        <f>IFERROR(__xludf.DUMMYFUNCTION("IF(D203="""","""",ROUND(XLOOKUP(D203, FLATTEN(B$1:E202), FLATTEN(O$1:R202), 500, 0, -1)))"),"")</f>
        <v/>
      </c>
      <c r="J203" s="9" t="str">
        <f>IFERROR(__xludf.DUMMYFUNCTION("IF(E203="""","""",ROUND(XLOOKUP(E203, FLATTEN(B$1:E202), FLATTEN(O$1:R202), 500, 0, -1)))"),"")</f>
        <v/>
      </c>
      <c r="K203" s="9" t="str">
        <f t="shared" si="2"/>
        <v/>
      </c>
      <c r="L203" s="9" t="str">
        <f t="shared" si="3"/>
        <v/>
      </c>
      <c r="M203" s="32" t="str">
        <f t="shared" si="4"/>
        <v/>
      </c>
      <c r="N203" s="9" t="str">
        <f t="shared" si="5"/>
        <v/>
      </c>
      <c r="O203" s="9" t="str">
        <f t="shared" si="6"/>
        <v/>
      </c>
      <c r="P203" s="9" t="str">
        <f t="shared" si="7"/>
        <v/>
      </c>
      <c r="Q203" s="9" t="str">
        <f t="shared" si="8"/>
        <v/>
      </c>
      <c r="R203" s="9" t="str">
        <f t="shared" si="9"/>
        <v/>
      </c>
    </row>
    <row r="204">
      <c r="A204" s="1" t="str">
        <f t="shared" si="1"/>
        <v/>
      </c>
      <c r="G204" s="9" t="str">
        <f>IFERROR(__xludf.DUMMYFUNCTION("IF(B204="""","""",ROUND(XLOOKUP(B204, FLATTEN(B$1:E203), FLATTEN(O$1:R203), 500, 0, -1)))"),"")</f>
        <v/>
      </c>
      <c r="H204" s="9" t="str">
        <f>IFERROR(__xludf.DUMMYFUNCTION("IF(C204="""","""",ROUND(XLOOKUP(C204, FLATTEN(B$1:E203), FLATTEN(O$1:R203), 500, 0, -1)))"),"")</f>
        <v/>
      </c>
      <c r="I204" s="9" t="str">
        <f>IFERROR(__xludf.DUMMYFUNCTION("IF(D204="""","""",ROUND(XLOOKUP(D204, FLATTEN(B$1:E203), FLATTEN(O$1:R203), 500, 0, -1)))"),"")</f>
        <v/>
      </c>
      <c r="J204" s="9" t="str">
        <f>IFERROR(__xludf.DUMMYFUNCTION("IF(E204="""","""",ROUND(XLOOKUP(E204, FLATTEN(B$1:E203), FLATTEN(O$1:R203), 500, 0, -1)))"),"")</f>
        <v/>
      </c>
      <c r="K204" s="9" t="str">
        <f t="shared" si="2"/>
        <v/>
      </c>
      <c r="L204" s="9" t="str">
        <f t="shared" si="3"/>
        <v/>
      </c>
      <c r="M204" s="32" t="str">
        <f t="shared" si="4"/>
        <v/>
      </c>
      <c r="N204" s="9" t="str">
        <f t="shared" si="5"/>
        <v/>
      </c>
      <c r="O204" s="9" t="str">
        <f t="shared" si="6"/>
        <v/>
      </c>
      <c r="P204" s="9" t="str">
        <f t="shared" si="7"/>
        <v/>
      </c>
      <c r="Q204" s="9" t="str">
        <f t="shared" si="8"/>
        <v/>
      </c>
      <c r="R204" s="9" t="str">
        <f t="shared" si="9"/>
        <v/>
      </c>
    </row>
    <row r="205">
      <c r="A205" s="1" t="str">
        <f t="shared" si="1"/>
        <v/>
      </c>
      <c r="G205" s="9" t="str">
        <f>IFERROR(__xludf.DUMMYFUNCTION("IF(B205="""","""",ROUND(XLOOKUP(B205, FLATTEN(B$1:E204), FLATTEN(O$1:R204), 500, 0, -1)))"),"")</f>
        <v/>
      </c>
      <c r="H205" s="9" t="str">
        <f>IFERROR(__xludf.DUMMYFUNCTION("IF(C205="""","""",ROUND(XLOOKUP(C205, FLATTEN(B$1:E204), FLATTEN(O$1:R204), 500, 0, -1)))"),"")</f>
        <v/>
      </c>
      <c r="I205" s="9" t="str">
        <f>IFERROR(__xludf.DUMMYFUNCTION("IF(D205="""","""",ROUND(XLOOKUP(D205, FLATTEN(B$1:E204), FLATTEN(O$1:R204), 500, 0, -1)))"),"")</f>
        <v/>
      </c>
      <c r="J205" s="9" t="str">
        <f>IFERROR(__xludf.DUMMYFUNCTION("IF(E205="""","""",ROUND(XLOOKUP(E205, FLATTEN(B$1:E204), FLATTEN(O$1:R204), 500, 0, -1)))"),"")</f>
        <v/>
      </c>
      <c r="K205" s="9" t="str">
        <f t="shared" si="2"/>
        <v/>
      </c>
      <c r="L205" s="9" t="str">
        <f t="shared" si="3"/>
        <v/>
      </c>
      <c r="M205" s="32" t="str">
        <f t="shared" si="4"/>
        <v/>
      </c>
      <c r="N205" s="9" t="str">
        <f t="shared" si="5"/>
        <v/>
      </c>
      <c r="O205" s="9" t="str">
        <f t="shared" si="6"/>
        <v/>
      </c>
      <c r="P205" s="9" t="str">
        <f t="shared" si="7"/>
        <v/>
      </c>
      <c r="Q205" s="9" t="str">
        <f t="shared" si="8"/>
        <v/>
      </c>
      <c r="R205" s="9" t="str">
        <f t="shared" si="9"/>
        <v/>
      </c>
    </row>
    <row r="206">
      <c r="A206" s="1" t="str">
        <f t="shared" si="1"/>
        <v/>
      </c>
      <c r="G206" s="9" t="str">
        <f>IFERROR(__xludf.DUMMYFUNCTION("IF(B206="""","""",ROUND(XLOOKUP(B206, FLATTEN(B$1:E205), FLATTEN(O$1:R205), 500, 0, -1)))"),"")</f>
        <v/>
      </c>
      <c r="H206" s="9" t="str">
        <f>IFERROR(__xludf.DUMMYFUNCTION("IF(C206="""","""",ROUND(XLOOKUP(C206, FLATTEN(B$1:E205), FLATTEN(O$1:R205), 500, 0, -1)))"),"")</f>
        <v/>
      </c>
      <c r="I206" s="9" t="str">
        <f>IFERROR(__xludf.DUMMYFUNCTION("IF(D206="""","""",ROUND(XLOOKUP(D206, FLATTEN(B$1:E205), FLATTEN(O$1:R205), 500, 0, -1)))"),"")</f>
        <v/>
      </c>
      <c r="J206" s="9" t="str">
        <f>IFERROR(__xludf.DUMMYFUNCTION("IF(E206="""","""",ROUND(XLOOKUP(E206, FLATTEN(B$1:E205), FLATTEN(O$1:R205), 500, 0, -1)))"),"")</f>
        <v/>
      </c>
      <c r="K206" s="9" t="str">
        <f t="shared" si="2"/>
        <v/>
      </c>
      <c r="L206" s="9" t="str">
        <f t="shared" si="3"/>
        <v/>
      </c>
      <c r="M206" s="32" t="str">
        <f t="shared" si="4"/>
        <v/>
      </c>
      <c r="N206" s="9" t="str">
        <f t="shared" si="5"/>
        <v/>
      </c>
      <c r="O206" s="9" t="str">
        <f t="shared" si="6"/>
        <v/>
      </c>
      <c r="P206" s="9" t="str">
        <f t="shared" si="7"/>
        <v/>
      </c>
      <c r="Q206" s="9" t="str">
        <f t="shared" si="8"/>
        <v/>
      </c>
      <c r="R206" s="9" t="str">
        <f t="shared" si="9"/>
        <v/>
      </c>
    </row>
    <row r="207">
      <c r="A207" s="1" t="str">
        <f t="shared" si="1"/>
        <v/>
      </c>
      <c r="G207" s="9" t="str">
        <f>IFERROR(__xludf.DUMMYFUNCTION("IF(B207="""","""",ROUND(XLOOKUP(B207, FLATTEN(B$1:E206), FLATTEN(O$1:R206), 500, 0, -1)))"),"")</f>
        <v/>
      </c>
      <c r="H207" s="9" t="str">
        <f>IFERROR(__xludf.DUMMYFUNCTION("IF(C207="""","""",ROUND(XLOOKUP(C207, FLATTEN(B$1:E206), FLATTEN(O$1:R206), 500, 0, -1)))"),"")</f>
        <v/>
      </c>
      <c r="I207" s="9" t="str">
        <f>IFERROR(__xludf.DUMMYFUNCTION("IF(D207="""","""",ROUND(XLOOKUP(D207, FLATTEN(B$1:E206), FLATTEN(O$1:R206), 500, 0, -1)))"),"")</f>
        <v/>
      </c>
      <c r="J207" s="9" t="str">
        <f>IFERROR(__xludf.DUMMYFUNCTION("IF(E207="""","""",ROUND(XLOOKUP(E207, FLATTEN(B$1:E206), FLATTEN(O$1:R206), 500, 0, -1)))"),"")</f>
        <v/>
      </c>
      <c r="K207" s="9" t="str">
        <f t="shared" si="2"/>
        <v/>
      </c>
      <c r="L207" s="9" t="str">
        <f t="shared" si="3"/>
        <v/>
      </c>
      <c r="M207" s="32" t="str">
        <f t="shared" si="4"/>
        <v/>
      </c>
      <c r="N207" s="9" t="str">
        <f t="shared" si="5"/>
        <v/>
      </c>
      <c r="O207" s="9" t="str">
        <f t="shared" si="6"/>
        <v/>
      </c>
      <c r="P207" s="9" t="str">
        <f t="shared" si="7"/>
        <v/>
      </c>
      <c r="Q207" s="9" t="str">
        <f t="shared" si="8"/>
        <v/>
      </c>
      <c r="R207" s="9" t="str">
        <f t="shared" si="9"/>
        <v/>
      </c>
    </row>
    <row r="208">
      <c r="A208" s="1" t="str">
        <f t="shared" si="1"/>
        <v/>
      </c>
      <c r="G208" s="9" t="str">
        <f>IFERROR(__xludf.DUMMYFUNCTION("IF(B208="""","""",ROUND(XLOOKUP(B208, FLATTEN(B$1:E207), FLATTEN(O$1:R207), 500, 0, -1)))"),"")</f>
        <v/>
      </c>
      <c r="H208" s="9" t="str">
        <f>IFERROR(__xludf.DUMMYFUNCTION("IF(C208="""","""",ROUND(XLOOKUP(C208, FLATTEN(B$1:E207), FLATTEN(O$1:R207), 500, 0, -1)))"),"")</f>
        <v/>
      </c>
      <c r="I208" s="9" t="str">
        <f>IFERROR(__xludf.DUMMYFUNCTION("IF(D208="""","""",ROUND(XLOOKUP(D208, FLATTEN(B$1:E207), FLATTEN(O$1:R207), 500, 0, -1)))"),"")</f>
        <v/>
      </c>
      <c r="J208" s="9" t="str">
        <f>IFERROR(__xludf.DUMMYFUNCTION("IF(E208="""","""",ROUND(XLOOKUP(E208, FLATTEN(B$1:E207), FLATTEN(O$1:R207), 500, 0, -1)))"),"")</f>
        <v/>
      </c>
      <c r="K208" s="9" t="str">
        <f t="shared" si="2"/>
        <v/>
      </c>
      <c r="L208" s="9" t="str">
        <f t="shared" si="3"/>
        <v/>
      </c>
      <c r="M208" s="32" t="str">
        <f t="shared" si="4"/>
        <v/>
      </c>
      <c r="N208" s="9" t="str">
        <f t="shared" si="5"/>
        <v/>
      </c>
      <c r="O208" s="9" t="str">
        <f t="shared" si="6"/>
        <v/>
      </c>
      <c r="P208" s="9" t="str">
        <f t="shared" si="7"/>
        <v/>
      </c>
      <c r="Q208" s="9" t="str">
        <f t="shared" si="8"/>
        <v/>
      </c>
      <c r="R208" s="9" t="str">
        <f t="shared" si="9"/>
        <v/>
      </c>
    </row>
    <row r="209">
      <c r="A209" s="1" t="str">
        <f t="shared" si="1"/>
        <v/>
      </c>
      <c r="G209" s="9" t="str">
        <f>IFERROR(__xludf.DUMMYFUNCTION("IF(B209="""","""",ROUND(XLOOKUP(B209, FLATTEN(B$1:E208), FLATTEN(O$1:R208), 500, 0, -1)))"),"")</f>
        <v/>
      </c>
      <c r="H209" s="9" t="str">
        <f>IFERROR(__xludf.DUMMYFUNCTION("IF(C209="""","""",ROUND(XLOOKUP(C209, FLATTEN(B$1:E208), FLATTEN(O$1:R208), 500, 0, -1)))"),"")</f>
        <v/>
      </c>
      <c r="I209" s="9" t="str">
        <f>IFERROR(__xludf.DUMMYFUNCTION("IF(D209="""","""",ROUND(XLOOKUP(D209, FLATTEN(B$1:E208), FLATTEN(O$1:R208), 500, 0, -1)))"),"")</f>
        <v/>
      </c>
      <c r="J209" s="9" t="str">
        <f>IFERROR(__xludf.DUMMYFUNCTION("IF(E209="""","""",ROUND(XLOOKUP(E209, FLATTEN(B$1:E208), FLATTEN(O$1:R208), 500, 0, -1)))"),"")</f>
        <v/>
      </c>
      <c r="K209" s="9" t="str">
        <f t="shared" si="2"/>
        <v/>
      </c>
      <c r="L209" s="9" t="str">
        <f t="shared" si="3"/>
        <v/>
      </c>
      <c r="M209" s="32" t="str">
        <f t="shared" si="4"/>
        <v/>
      </c>
      <c r="N209" s="9" t="str">
        <f t="shared" si="5"/>
        <v/>
      </c>
      <c r="O209" s="9" t="str">
        <f t="shared" si="6"/>
        <v/>
      </c>
      <c r="P209" s="9" t="str">
        <f t="shared" si="7"/>
        <v/>
      </c>
      <c r="Q209" s="9" t="str">
        <f t="shared" si="8"/>
        <v/>
      </c>
      <c r="R209" s="9" t="str">
        <f t="shared" si="9"/>
        <v/>
      </c>
    </row>
    <row r="210">
      <c r="A210" s="1" t="str">
        <f t="shared" si="1"/>
        <v/>
      </c>
      <c r="G210" s="9" t="str">
        <f>IFERROR(__xludf.DUMMYFUNCTION("IF(B210="""","""",ROUND(XLOOKUP(B210, FLATTEN(B$1:E209), FLATTEN(O$1:R209), 500, 0, -1)))"),"")</f>
        <v/>
      </c>
      <c r="H210" s="9" t="str">
        <f>IFERROR(__xludf.DUMMYFUNCTION("IF(C210="""","""",ROUND(XLOOKUP(C210, FLATTEN(B$1:E209), FLATTEN(O$1:R209), 500, 0, -1)))"),"")</f>
        <v/>
      </c>
      <c r="I210" s="9" t="str">
        <f>IFERROR(__xludf.DUMMYFUNCTION("IF(D210="""","""",ROUND(XLOOKUP(D210, FLATTEN(B$1:E209), FLATTEN(O$1:R209), 500, 0, -1)))"),"")</f>
        <v/>
      </c>
      <c r="J210" s="9" t="str">
        <f>IFERROR(__xludf.DUMMYFUNCTION("IF(E210="""","""",ROUND(XLOOKUP(E210, FLATTEN(B$1:E209), FLATTEN(O$1:R209), 500, 0, -1)))"),"")</f>
        <v/>
      </c>
      <c r="K210" s="9" t="str">
        <f t="shared" si="2"/>
        <v/>
      </c>
      <c r="L210" s="9" t="str">
        <f t="shared" si="3"/>
        <v/>
      </c>
      <c r="M210" s="32" t="str">
        <f t="shared" si="4"/>
        <v/>
      </c>
      <c r="N210" s="9" t="str">
        <f t="shared" si="5"/>
        <v/>
      </c>
      <c r="O210" s="9" t="str">
        <f t="shared" si="6"/>
        <v/>
      </c>
      <c r="P210" s="9" t="str">
        <f t="shared" si="7"/>
        <v/>
      </c>
      <c r="Q210" s="9" t="str">
        <f t="shared" si="8"/>
        <v/>
      </c>
      <c r="R210" s="9" t="str">
        <f t="shared" si="9"/>
        <v/>
      </c>
    </row>
    <row r="211">
      <c r="A211" s="1" t="str">
        <f t="shared" si="1"/>
        <v/>
      </c>
      <c r="G211" s="9" t="str">
        <f>IFERROR(__xludf.DUMMYFUNCTION("IF(B211="""","""",ROUND(XLOOKUP(B211, FLATTEN(B$1:E210), FLATTEN(O$1:R210), 500, 0, -1)))"),"")</f>
        <v/>
      </c>
      <c r="H211" s="9" t="str">
        <f>IFERROR(__xludf.DUMMYFUNCTION("IF(C211="""","""",ROUND(XLOOKUP(C211, FLATTEN(B$1:E210), FLATTEN(O$1:R210), 500, 0, -1)))"),"")</f>
        <v/>
      </c>
      <c r="I211" s="9" t="str">
        <f>IFERROR(__xludf.DUMMYFUNCTION("IF(D211="""","""",ROUND(XLOOKUP(D211, FLATTEN(B$1:E210), FLATTEN(O$1:R210), 500, 0, -1)))"),"")</f>
        <v/>
      </c>
      <c r="J211" s="9" t="str">
        <f>IFERROR(__xludf.DUMMYFUNCTION("IF(E211="""","""",ROUND(XLOOKUP(E211, FLATTEN(B$1:E210), FLATTEN(O$1:R210), 500, 0, -1)))"),"")</f>
        <v/>
      </c>
      <c r="K211" s="9" t="str">
        <f t="shared" si="2"/>
        <v/>
      </c>
      <c r="L211" s="9" t="str">
        <f t="shared" si="3"/>
        <v/>
      </c>
      <c r="M211" s="32" t="str">
        <f t="shared" si="4"/>
        <v/>
      </c>
      <c r="N211" s="9" t="str">
        <f t="shared" si="5"/>
        <v/>
      </c>
      <c r="O211" s="9" t="str">
        <f t="shared" si="6"/>
        <v/>
      </c>
      <c r="P211" s="9" t="str">
        <f t="shared" si="7"/>
        <v/>
      </c>
      <c r="Q211" s="9" t="str">
        <f t="shared" si="8"/>
        <v/>
      </c>
      <c r="R211" s="9" t="str">
        <f t="shared" si="9"/>
        <v/>
      </c>
    </row>
    <row r="212">
      <c r="A212" s="1" t="str">
        <f t="shared" si="1"/>
        <v/>
      </c>
      <c r="G212" s="9" t="str">
        <f>IFERROR(__xludf.DUMMYFUNCTION("IF(B212="""","""",ROUND(XLOOKUP(B212, FLATTEN(B$1:E211), FLATTEN(O$1:R211), 500, 0, -1)))"),"")</f>
        <v/>
      </c>
      <c r="H212" s="9" t="str">
        <f>IFERROR(__xludf.DUMMYFUNCTION("IF(C212="""","""",ROUND(XLOOKUP(C212, FLATTEN(B$1:E211), FLATTEN(O$1:R211), 500, 0, -1)))"),"")</f>
        <v/>
      </c>
      <c r="I212" s="9" t="str">
        <f>IFERROR(__xludf.DUMMYFUNCTION("IF(D212="""","""",ROUND(XLOOKUP(D212, FLATTEN(B$1:E211), FLATTEN(O$1:R211), 500, 0, -1)))"),"")</f>
        <v/>
      </c>
      <c r="J212" s="9" t="str">
        <f>IFERROR(__xludf.DUMMYFUNCTION("IF(E212="""","""",ROUND(XLOOKUP(E212, FLATTEN(B$1:E211), FLATTEN(O$1:R211), 500, 0, -1)))"),"")</f>
        <v/>
      </c>
      <c r="K212" s="9" t="str">
        <f t="shared" si="2"/>
        <v/>
      </c>
      <c r="L212" s="9" t="str">
        <f t="shared" si="3"/>
        <v/>
      </c>
      <c r="M212" s="32" t="str">
        <f t="shared" si="4"/>
        <v/>
      </c>
      <c r="N212" s="9" t="str">
        <f t="shared" si="5"/>
        <v/>
      </c>
      <c r="O212" s="9" t="str">
        <f t="shared" si="6"/>
        <v/>
      </c>
      <c r="P212" s="9" t="str">
        <f t="shared" si="7"/>
        <v/>
      </c>
      <c r="Q212" s="9" t="str">
        <f t="shared" si="8"/>
        <v/>
      </c>
      <c r="R212" s="9" t="str">
        <f t="shared" si="9"/>
        <v/>
      </c>
    </row>
    <row r="213">
      <c r="A213" s="1" t="str">
        <f t="shared" si="1"/>
        <v/>
      </c>
      <c r="G213" s="9" t="str">
        <f>IFERROR(__xludf.DUMMYFUNCTION("IF(B213="""","""",ROUND(XLOOKUP(B213, FLATTEN(B$1:E212), FLATTEN(O$1:R212), 500, 0, -1)))"),"")</f>
        <v/>
      </c>
      <c r="H213" s="9" t="str">
        <f>IFERROR(__xludf.DUMMYFUNCTION("IF(C213="""","""",ROUND(XLOOKUP(C213, FLATTEN(B$1:E212), FLATTEN(O$1:R212), 500, 0, -1)))"),"")</f>
        <v/>
      </c>
      <c r="I213" s="9" t="str">
        <f>IFERROR(__xludf.DUMMYFUNCTION("IF(D213="""","""",ROUND(XLOOKUP(D213, FLATTEN(B$1:E212), FLATTEN(O$1:R212), 500, 0, -1)))"),"")</f>
        <v/>
      </c>
      <c r="J213" s="9" t="str">
        <f>IFERROR(__xludf.DUMMYFUNCTION("IF(E213="""","""",ROUND(XLOOKUP(E213, FLATTEN(B$1:E212), FLATTEN(O$1:R212), 500, 0, -1)))"),"")</f>
        <v/>
      </c>
      <c r="K213" s="9" t="str">
        <f t="shared" si="2"/>
        <v/>
      </c>
      <c r="L213" s="9" t="str">
        <f t="shared" si="3"/>
        <v/>
      </c>
      <c r="M213" s="32" t="str">
        <f t="shared" si="4"/>
        <v/>
      </c>
      <c r="N213" s="9" t="str">
        <f t="shared" si="5"/>
        <v/>
      </c>
      <c r="O213" s="9" t="str">
        <f t="shared" si="6"/>
        <v/>
      </c>
      <c r="P213" s="9" t="str">
        <f t="shared" si="7"/>
        <v/>
      </c>
      <c r="Q213" s="9" t="str">
        <f t="shared" si="8"/>
        <v/>
      </c>
      <c r="R213" s="9" t="str">
        <f t="shared" si="9"/>
        <v/>
      </c>
    </row>
    <row r="214">
      <c r="A214" s="1" t="str">
        <f t="shared" si="1"/>
        <v/>
      </c>
      <c r="G214" s="9" t="str">
        <f>IFERROR(__xludf.DUMMYFUNCTION("IF(B214="""","""",ROUND(XLOOKUP(B214, FLATTEN(B$1:E213), FLATTEN(O$1:R213), 500, 0, -1)))"),"")</f>
        <v/>
      </c>
      <c r="H214" s="9" t="str">
        <f>IFERROR(__xludf.DUMMYFUNCTION("IF(C214="""","""",ROUND(XLOOKUP(C214, FLATTEN(B$1:E213), FLATTEN(O$1:R213), 500, 0, -1)))"),"")</f>
        <v/>
      </c>
      <c r="I214" s="9" t="str">
        <f>IFERROR(__xludf.DUMMYFUNCTION("IF(D214="""","""",ROUND(XLOOKUP(D214, FLATTEN(B$1:E213), FLATTEN(O$1:R213), 500, 0, -1)))"),"")</f>
        <v/>
      </c>
      <c r="J214" s="9" t="str">
        <f>IFERROR(__xludf.DUMMYFUNCTION("IF(E214="""","""",ROUND(XLOOKUP(E214, FLATTEN(B$1:E213), FLATTEN(O$1:R213), 500, 0, -1)))"),"")</f>
        <v/>
      </c>
      <c r="K214" s="9" t="str">
        <f t="shared" si="2"/>
        <v/>
      </c>
      <c r="L214" s="9" t="str">
        <f t="shared" si="3"/>
        <v/>
      </c>
      <c r="M214" s="32" t="str">
        <f t="shared" si="4"/>
        <v/>
      </c>
      <c r="N214" s="9" t="str">
        <f t="shared" si="5"/>
        <v/>
      </c>
      <c r="O214" s="9" t="str">
        <f t="shared" si="6"/>
        <v/>
      </c>
      <c r="P214" s="9" t="str">
        <f t="shared" si="7"/>
        <v/>
      </c>
      <c r="Q214" s="9" t="str">
        <f t="shared" si="8"/>
        <v/>
      </c>
      <c r="R214" s="9" t="str">
        <f t="shared" si="9"/>
        <v/>
      </c>
    </row>
    <row r="215">
      <c r="A215" s="1" t="str">
        <f t="shared" si="1"/>
        <v/>
      </c>
      <c r="G215" s="9" t="str">
        <f>IFERROR(__xludf.DUMMYFUNCTION("IF(B215="""","""",ROUND(XLOOKUP(B215, FLATTEN(B$1:E214), FLATTEN(O$1:R214), 500, 0, -1)))"),"")</f>
        <v/>
      </c>
      <c r="H215" s="9" t="str">
        <f>IFERROR(__xludf.DUMMYFUNCTION("IF(C215="""","""",ROUND(XLOOKUP(C215, FLATTEN(B$1:E214), FLATTEN(O$1:R214), 500, 0, -1)))"),"")</f>
        <v/>
      </c>
      <c r="I215" s="9" t="str">
        <f>IFERROR(__xludf.DUMMYFUNCTION("IF(D215="""","""",ROUND(XLOOKUP(D215, FLATTEN(B$1:E214), FLATTEN(O$1:R214), 500, 0, -1)))"),"")</f>
        <v/>
      </c>
      <c r="J215" s="9" t="str">
        <f>IFERROR(__xludf.DUMMYFUNCTION("IF(E215="""","""",ROUND(XLOOKUP(E215, FLATTEN(B$1:E214), FLATTEN(O$1:R214), 500, 0, -1)))"),"")</f>
        <v/>
      </c>
      <c r="K215" s="9" t="str">
        <f t="shared" si="2"/>
        <v/>
      </c>
      <c r="L215" s="9" t="str">
        <f t="shared" si="3"/>
        <v/>
      </c>
      <c r="M215" s="32" t="str">
        <f t="shared" si="4"/>
        <v/>
      </c>
      <c r="N215" s="9" t="str">
        <f t="shared" si="5"/>
        <v/>
      </c>
      <c r="O215" s="9" t="str">
        <f t="shared" si="6"/>
        <v/>
      </c>
      <c r="P215" s="9" t="str">
        <f t="shared" si="7"/>
        <v/>
      </c>
      <c r="Q215" s="9" t="str">
        <f t="shared" si="8"/>
        <v/>
      </c>
      <c r="R215" s="9" t="str">
        <f t="shared" si="9"/>
        <v/>
      </c>
    </row>
    <row r="216">
      <c r="A216" s="1" t="str">
        <f t="shared" si="1"/>
        <v/>
      </c>
      <c r="G216" s="9" t="str">
        <f>IFERROR(__xludf.DUMMYFUNCTION("IF(B216="""","""",ROUND(XLOOKUP(B216, FLATTEN(B$1:E215), FLATTEN(O$1:R215), 500, 0, -1)))"),"")</f>
        <v/>
      </c>
      <c r="H216" s="9" t="str">
        <f>IFERROR(__xludf.DUMMYFUNCTION("IF(C216="""","""",ROUND(XLOOKUP(C216, FLATTEN(B$1:E215), FLATTEN(O$1:R215), 500, 0, -1)))"),"")</f>
        <v/>
      </c>
      <c r="I216" s="9" t="str">
        <f>IFERROR(__xludf.DUMMYFUNCTION("IF(D216="""","""",ROUND(XLOOKUP(D216, FLATTEN(B$1:E215), FLATTEN(O$1:R215), 500, 0, -1)))"),"")</f>
        <v/>
      </c>
      <c r="J216" s="9" t="str">
        <f>IFERROR(__xludf.DUMMYFUNCTION("IF(E216="""","""",ROUND(XLOOKUP(E216, FLATTEN(B$1:E215), FLATTEN(O$1:R215), 500, 0, -1)))"),"")</f>
        <v/>
      </c>
      <c r="K216" s="9" t="str">
        <f t="shared" si="2"/>
        <v/>
      </c>
      <c r="L216" s="9" t="str">
        <f t="shared" si="3"/>
        <v/>
      </c>
      <c r="M216" s="32" t="str">
        <f t="shared" si="4"/>
        <v/>
      </c>
      <c r="N216" s="9" t="str">
        <f t="shared" si="5"/>
        <v/>
      </c>
      <c r="O216" s="9" t="str">
        <f t="shared" si="6"/>
        <v/>
      </c>
      <c r="P216" s="9" t="str">
        <f t="shared" si="7"/>
        <v/>
      </c>
      <c r="Q216" s="9" t="str">
        <f t="shared" si="8"/>
        <v/>
      </c>
      <c r="R216" s="9" t="str">
        <f t="shared" si="9"/>
        <v/>
      </c>
    </row>
    <row r="217">
      <c r="A217" s="1" t="str">
        <f t="shared" si="1"/>
        <v/>
      </c>
      <c r="G217" s="9" t="str">
        <f>IFERROR(__xludf.DUMMYFUNCTION("IF(B217="""","""",ROUND(XLOOKUP(B217, FLATTEN(B$1:E216), FLATTEN(O$1:R216), 500, 0, -1)))"),"")</f>
        <v/>
      </c>
      <c r="H217" s="9" t="str">
        <f>IFERROR(__xludf.DUMMYFUNCTION("IF(C217="""","""",ROUND(XLOOKUP(C217, FLATTEN(B$1:E216), FLATTEN(O$1:R216), 500, 0, -1)))"),"")</f>
        <v/>
      </c>
      <c r="I217" s="9" t="str">
        <f>IFERROR(__xludf.DUMMYFUNCTION("IF(D217="""","""",ROUND(XLOOKUP(D217, FLATTEN(B$1:E216), FLATTEN(O$1:R216), 500, 0, -1)))"),"")</f>
        <v/>
      </c>
      <c r="J217" s="9" t="str">
        <f>IFERROR(__xludf.DUMMYFUNCTION("IF(E217="""","""",ROUND(XLOOKUP(E217, FLATTEN(B$1:E216), FLATTEN(O$1:R216), 500, 0, -1)))"),"")</f>
        <v/>
      </c>
      <c r="K217" s="9" t="str">
        <f t="shared" si="2"/>
        <v/>
      </c>
      <c r="L217" s="9" t="str">
        <f t="shared" si="3"/>
        <v/>
      </c>
      <c r="M217" s="32" t="str">
        <f t="shared" si="4"/>
        <v/>
      </c>
      <c r="N217" s="9" t="str">
        <f t="shared" si="5"/>
        <v/>
      </c>
      <c r="O217" s="9" t="str">
        <f t="shared" si="6"/>
        <v/>
      </c>
      <c r="P217" s="9" t="str">
        <f t="shared" si="7"/>
        <v/>
      </c>
      <c r="Q217" s="9" t="str">
        <f t="shared" si="8"/>
        <v/>
      </c>
      <c r="R217" s="9" t="str">
        <f t="shared" si="9"/>
        <v/>
      </c>
    </row>
    <row r="218">
      <c r="A218" s="1" t="str">
        <f t="shared" si="1"/>
        <v/>
      </c>
      <c r="G218" s="9" t="str">
        <f>IFERROR(__xludf.DUMMYFUNCTION("IF(B218="""","""",ROUND(XLOOKUP(B218, FLATTEN(B$1:E217), FLATTEN(O$1:R217), 500, 0, -1)))"),"")</f>
        <v/>
      </c>
      <c r="H218" s="9" t="str">
        <f>IFERROR(__xludf.DUMMYFUNCTION("IF(C218="""","""",ROUND(XLOOKUP(C218, FLATTEN(B$1:E217), FLATTEN(O$1:R217), 500, 0, -1)))"),"")</f>
        <v/>
      </c>
      <c r="I218" s="9" t="str">
        <f>IFERROR(__xludf.DUMMYFUNCTION("IF(D218="""","""",ROUND(XLOOKUP(D218, FLATTEN(B$1:E217), FLATTEN(O$1:R217), 500, 0, -1)))"),"")</f>
        <v/>
      </c>
      <c r="J218" s="9" t="str">
        <f>IFERROR(__xludf.DUMMYFUNCTION("IF(E218="""","""",ROUND(XLOOKUP(E218, FLATTEN(B$1:E217), FLATTEN(O$1:R217), 500, 0, -1)))"),"")</f>
        <v/>
      </c>
      <c r="K218" s="9" t="str">
        <f t="shared" si="2"/>
        <v/>
      </c>
      <c r="L218" s="9" t="str">
        <f t="shared" si="3"/>
        <v/>
      </c>
      <c r="M218" s="32" t="str">
        <f t="shared" si="4"/>
        <v/>
      </c>
      <c r="N218" s="9" t="str">
        <f t="shared" si="5"/>
        <v/>
      </c>
      <c r="O218" s="9" t="str">
        <f t="shared" si="6"/>
        <v/>
      </c>
      <c r="P218" s="9" t="str">
        <f t="shared" si="7"/>
        <v/>
      </c>
      <c r="Q218" s="9" t="str">
        <f t="shared" si="8"/>
        <v/>
      </c>
      <c r="R218" s="9" t="str">
        <f t="shared" si="9"/>
        <v/>
      </c>
    </row>
    <row r="219">
      <c r="A219" s="1" t="str">
        <f t="shared" si="1"/>
        <v/>
      </c>
      <c r="G219" s="9" t="str">
        <f>IFERROR(__xludf.DUMMYFUNCTION("IF(B219="""","""",ROUND(XLOOKUP(B219, FLATTEN(B$1:E218), FLATTEN(O$1:R218), 500, 0, -1)))"),"")</f>
        <v/>
      </c>
      <c r="H219" s="9" t="str">
        <f>IFERROR(__xludf.DUMMYFUNCTION("IF(C219="""","""",ROUND(XLOOKUP(C219, FLATTEN(B$1:E218), FLATTEN(O$1:R218), 500, 0, -1)))"),"")</f>
        <v/>
      </c>
      <c r="I219" s="9" t="str">
        <f>IFERROR(__xludf.DUMMYFUNCTION("IF(D219="""","""",ROUND(XLOOKUP(D219, FLATTEN(B$1:E218), FLATTEN(O$1:R218), 500, 0, -1)))"),"")</f>
        <v/>
      </c>
      <c r="J219" s="9" t="str">
        <f>IFERROR(__xludf.DUMMYFUNCTION("IF(E219="""","""",ROUND(XLOOKUP(E219, FLATTEN(B$1:E218), FLATTEN(O$1:R218), 500, 0, -1)))"),"")</f>
        <v/>
      </c>
      <c r="K219" s="9" t="str">
        <f t="shared" si="2"/>
        <v/>
      </c>
      <c r="L219" s="9" t="str">
        <f t="shared" si="3"/>
        <v/>
      </c>
      <c r="M219" s="32" t="str">
        <f t="shared" si="4"/>
        <v/>
      </c>
      <c r="N219" s="9" t="str">
        <f t="shared" si="5"/>
        <v/>
      </c>
      <c r="O219" s="9" t="str">
        <f t="shared" si="6"/>
        <v/>
      </c>
      <c r="P219" s="9" t="str">
        <f t="shared" si="7"/>
        <v/>
      </c>
      <c r="Q219" s="9" t="str">
        <f t="shared" si="8"/>
        <v/>
      </c>
      <c r="R219" s="9" t="str">
        <f t="shared" si="9"/>
        <v/>
      </c>
    </row>
    <row r="220">
      <c r="A220" s="1" t="str">
        <f t="shared" si="1"/>
        <v/>
      </c>
      <c r="G220" s="9" t="str">
        <f>IFERROR(__xludf.DUMMYFUNCTION("IF(B220="""","""",ROUND(XLOOKUP(B220, FLATTEN(B$1:E219), FLATTEN(O$1:R219), 500, 0, -1)))"),"")</f>
        <v/>
      </c>
      <c r="H220" s="9" t="str">
        <f>IFERROR(__xludf.DUMMYFUNCTION("IF(C220="""","""",ROUND(XLOOKUP(C220, FLATTEN(B$1:E219), FLATTEN(O$1:R219), 500, 0, -1)))"),"")</f>
        <v/>
      </c>
      <c r="I220" s="9" t="str">
        <f>IFERROR(__xludf.DUMMYFUNCTION("IF(D220="""","""",ROUND(XLOOKUP(D220, FLATTEN(B$1:E219), FLATTEN(O$1:R219), 500, 0, -1)))"),"")</f>
        <v/>
      </c>
      <c r="J220" s="9" t="str">
        <f>IFERROR(__xludf.DUMMYFUNCTION("IF(E220="""","""",ROUND(XLOOKUP(E220, FLATTEN(B$1:E219), FLATTEN(O$1:R219), 500, 0, -1)))"),"")</f>
        <v/>
      </c>
      <c r="K220" s="9" t="str">
        <f t="shared" si="2"/>
        <v/>
      </c>
      <c r="L220" s="9" t="str">
        <f t="shared" si="3"/>
        <v/>
      </c>
      <c r="M220" s="32" t="str">
        <f t="shared" si="4"/>
        <v/>
      </c>
      <c r="N220" s="9" t="str">
        <f t="shared" si="5"/>
        <v/>
      </c>
      <c r="O220" s="9" t="str">
        <f t="shared" si="6"/>
        <v/>
      </c>
      <c r="P220" s="9" t="str">
        <f t="shared" si="7"/>
        <v/>
      </c>
      <c r="Q220" s="9" t="str">
        <f t="shared" si="8"/>
        <v/>
      </c>
      <c r="R220" s="9" t="str">
        <f t="shared" si="9"/>
        <v/>
      </c>
    </row>
    <row r="221">
      <c r="A221" s="1" t="str">
        <f t="shared" si="1"/>
        <v/>
      </c>
      <c r="G221" s="9" t="str">
        <f>IFERROR(__xludf.DUMMYFUNCTION("IF(B221="""","""",ROUND(XLOOKUP(B221, FLATTEN(B$1:E220), FLATTEN(O$1:R220), 500, 0, -1)))"),"")</f>
        <v/>
      </c>
      <c r="H221" s="9" t="str">
        <f>IFERROR(__xludf.DUMMYFUNCTION("IF(C221="""","""",ROUND(XLOOKUP(C221, FLATTEN(B$1:E220), FLATTEN(O$1:R220), 500, 0, -1)))"),"")</f>
        <v/>
      </c>
      <c r="I221" s="9" t="str">
        <f>IFERROR(__xludf.DUMMYFUNCTION("IF(D221="""","""",ROUND(XLOOKUP(D221, FLATTEN(B$1:E220), FLATTEN(O$1:R220), 500, 0, -1)))"),"")</f>
        <v/>
      </c>
      <c r="J221" s="9" t="str">
        <f>IFERROR(__xludf.DUMMYFUNCTION("IF(E221="""","""",ROUND(XLOOKUP(E221, FLATTEN(B$1:E220), FLATTEN(O$1:R220), 500, 0, -1)))"),"")</f>
        <v/>
      </c>
      <c r="K221" s="9" t="str">
        <f t="shared" si="2"/>
        <v/>
      </c>
      <c r="L221" s="9" t="str">
        <f t="shared" si="3"/>
        <v/>
      </c>
      <c r="M221" s="32" t="str">
        <f t="shared" si="4"/>
        <v/>
      </c>
      <c r="N221" s="9" t="str">
        <f t="shared" si="5"/>
        <v/>
      </c>
      <c r="O221" s="9" t="str">
        <f t="shared" si="6"/>
        <v/>
      </c>
      <c r="P221" s="9" t="str">
        <f t="shared" si="7"/>
        <v/>
      </c>
      <c r="Q221" s="9" t="str">
        <f t="shared" si="8"/>
        <v/>
      </c>
      <c r="R221" s="9" t="str">
        <f t="shared" si="9"/>
        <v/>
      </c>
    </row>
    <row r="222">
      <c r="A222" s="1" t="str">
        <f t="shared" si="1"/>
        <v/>
      </c>
      <c r="G222" s="9" t="str">
        <f>IFERROR(__xludf.DUMMYFUNCTION("IF(B222="""","""",ROUND(XLOOKUP(B222, FLATTEN(B$1:E221), FLATTEN(O$1:R221), 500, 0, -1)))"),"")</f>
        <v/>
      </c>
      <c r="H222" s="9" t="str">
        <f>IFERROR(__xludf.DUMMYFUNCTION("IF(C222="""","""",ROUND(XLOOKUP(C222, FLATTEN(B$1:E221), FLATTEN(O$1:R221), 500, 0, -1)))"),"")</f>
        <v/>
      </c>
      <c r="I222" s="9" t="str">
        <f>IFERROR(__xludf.DUMMYFUNCTION("IF(D222="""","""",ROUND(XLOOKUP(D222, FLATTEN(B$1:E221), FLATTEN(O$1:R221), 500, 0, -1)))"),"")</f>
        <v/>
      </c>
      <c r="J222" s="9" t="str">
        <f>IFERROR(__xludf.DUMMYFUNCTION("IF(E222="""","""",ROUND(XLOOKUP(E222, FLATTEN(B$1:E221), FLATTEN(O$1:R221), 500, 0, -1)))"),"")</f>
        <v/>
      </c>
      <c r="K222" s="9" t="str">
        <f t="shared" si="2"/>
        <v/>
      </c>
      <c r="L222" s="9" t="str">
        <f t="shared" si="3"/>
        <v/>
      </c>
      <c r="M222" s="32" t="str">
        <f t="shared" si="4"/>
        <v/>
      </c>
      <c r="N222" s="9" t="str">
        <f t="shared" si="5"/>
        <v/>
      </c>
      <c r="O222" s="9" t="str">
        <f t="shared" si="6"/>
        <v/>
      </c>
      <c r="P222" s="9" t="str">
        <f t="shared" si="7"/>
        <v/>
      </c>
      <c r="Q222" s="9" t="str">
        <f t="shared" si="8"/>
        <v/>
      </c>
      <c r="R222" s="9" t="str">
        <f t="shared" si="9"/>
        <v/>
      </c>
    </row>
    <row r="223">
      <c r="A223" s="1" t="str">
        <f t="shared" si="1"/>
        <v/>
      </c>
      <c r="G223" s="9" t="str">
        <f>IFERROR(__xludf.DUMMYFUNCTION("IF(B223="""","""",ROUND(XLOOKUP(B223, FLATTEN(B$1:E222), FLATTEN(O$1:R222), 500, 0, -1)))"),"")</f>
        <v/>
      </c>
      <c r="H223" s="9" t="str">
        <f>IFERROR(__xludf.DUMMYFUNCTION("IF(C223="""","""",ROUND(XLOOKUP(C223, FLATTEN(B$1:E222), FLATTEN(O$1:R222), 500, 0, -1)))"),"")</f>
        <v/>
      </c>
      <c r="I223" s="9" t="str">
        <f>IFERROR(__xludf.DUMMYFUNCTION("IF(D223="""","""",ROUND(XLOOKUP(D223, FLATTEN(B$1:E222), FLATTEN(O$1:R222), 500, 0, -1)))"),"")</f>
        <v/>
      </c>
      <c r="J223" s="9" t="str">
        <f>IFERROR(__xludf.DUMMYFUNCTION("IF(E223="""","""",ROUND(XLOOKUP(E223, FLATTEN(B$1:E222), FLATTEN(O$1:R222), 500, 0, -1)))"),"")</f>
        <v/>
      </c>
      <c r="K223" s="9" t="str">
        <f t="shared" si="2"/>
        <v/>
      </c>
      <c r="L223" s="9" t="str">
        <f t="shared" si="3"/>
        <v/>
      </c>
      <c r="M223" s="32" t="str">
        <f t="shared" si="4"/>
        <v/>
      </c>
      <c r="N223" s="9" t="str">
        <f t="shared" si="5"/>
        <v/>
      </c>
      <c r="O223" s="9" t="str">
        <f t="shared" si="6"/>
        <v/>
      </c>
      <c r="P223" s="9" t="str">
        <f t="shared" si="7"/>
        <v/>
      </c>
      <c r="Q223" s="9" t="str">
        <f t="shared" si="8"/>
        <v/>
      </c>
      <c r="R223" s="9" t="str">
        <f t="shared" si="9"/>
        <v/>
      </c>
    </row>
    <row r="224">
      <c r="A224" s="1" t="str">
        <f t="shared" si="1"/>
        <v/>
      </c>
      <c r="G224" s="9" t="str">
        <f>IFERROR(__xludf.DUMMYFUNCTION("IF(B224="""","""",ROUND(XLOOKUP(B224, FLATTEN(B$1:E223), FLATTEN(O$1:R223), 500, 0, -1)))"),"")</f>
        <v/>
      </c>
      <c r="H224" s="9" t="str">
        <f>IFERROR(__xludf.DUMMYFUNCTION("IF(C224="""","""",ROUND(XLOOKUP(C224, FLATTEN(B$1:E223), FLATTEN(O$1:R223), 500, 0, -1)))"),"")</f>
        <v/>
      </c>
      <c r="I224" s="9" t="str">
        <f>IFERROR(__xludf.DUMMYFUNCTION("IF(D224="""","""",ROUND(XLOOKUP(D224, FLATTEN(B$1:E223), FLATTEN(O$1:R223), 500, 0, -1)))"),"")</f>
        <v/>
      </c>
      <c r="J224" s="9" t="str">
        <f>IFERROR(__xludf.DUMMYFUNCTION("IF(E224="""","""",ROUND(XLOOKUP(E224, FLATTEN(B$1:E223), FLATTEN(O$1:R223), 500, 0, -1)))"),"")</f>
        <v/>
      </c>
      <c r="K224" s="9" t="str">
        <f t="shared" si="2"/>
        <v/>
      </c>
      <c r="L224" s="9" t="str">
        <f t="shared" si="3"/>
        <v/>
      </c>
      <c r="M224" s="32" t="str">
        <f t="shared" si="4"/>
        <v/>
      </c>
      <c r="N224" s="9" t="str">
        <f t="shared" si="5"/>
        <v/>
      </c>
      <c r="O224" s="9" t="str">
        <f t="shared" si="6"/>
        <v/>
      </c>
      <c r="P224" s="9" t="str">
        <f t="shared" si="7"/>
        <v/>
      </c>
      <c r="Q224" s="9" t="str">
        <f t="shared" si="8"/>
        <v/>
      </c>
      <c r="R224" s="9" t="str">
        <f t="shared" si="9"/>
        <v/>
      </c>
    </row>
    <row r="225">
      <c r="A225" s="1" t="str">
        <f t="shared" si="1"/>
        <v/>
      </c>
      <c r="G225" s="9" t="str">
        <f>IFERROR(__xludf.DUMMYFUNCTION("IF(B225="""","""",ROUND(XLOOKUP(B225, FLATTEN(B$1:E224), FLATTEN(O$1:R224), 500, 0, -1)))"),"")</f>
        <v/>
      </c>
      <c r="H225" s="9" t="str">
        <f>IFERROR(__xludf.DUMMYFUNCTION("IF(C225="""","""",ROUND(XLOOKUP(C225, FLATTEN(B$1:E224), FLATTEN(O$1:R224), 500, 0, -1)))"),"")</f>
        <v/>
      </c>
      <c r="I225" s="9" t="str">
        <f>IFERROR(__xludf.DUMMYFUNCTION("IF(D225="""","""",ROUND(XLOOKUP(D225, FLATTEN(B$1:E224), FLATTEN(O$1:R224), 500, 0, -1)))"),"")</f>
        <v/>
      </c>
      <c r="J225" s="9" t="str">
        <f>IFERROR(__xludf.DUMMYFUNCTION("IF(E225="""","""",ROUND(XLOOKUP(E225, FLATTEN(B$1:E224), FLATTEN(O$1:R224), 500, 0, -1)))"),"")</f>
        <v/>
      </c>
      <c r="K225" s="9" t="str">
        <f t="shared" si="2"/>
        <v/>
      </c>
      <c r="L225" s="9" t="str">
        <f t="shared" si="3"/>
        <v/>
      </c>
      <c r="M225" s="32" t="str">
        <f t="shared" si="4"/>
        <v/>
      </c>
      <c r="N225" s="9" t="str">
        <f t="shared" si="5"/>
        <v/>
      </c>
      <c r="O225" s="9" t="str">
        <f t="shared" si="6"/>
        <v/>
      </c>
      <c r="P225" s="9" t="str">
        <f t="shared" si="7"/>
        <v/>
      </c>
      <c r="Q225" s="9" t="str">
        <f t="shared" si="8"/>
        <v/>
      </c>
      <c r="R225" s="9" t="str">
        <f t="shared" si="9"/>
        <v/>
      </c>
    </row>
    <row r="226">
      <c r="A226" s="1" t="str">
        <f t="shared" si="1"/>
        <v/>
      </c>
      <c r="G226" s="9" t="str">
        <f>IFERROR(__xludf.DUMMYFUNCTION("IF(B226="""","""",ROUND(XLOOKUP(B226, FLATTEN(B$1:E225), FLATTEN(O$1:R225), 500, 0, -1)))"),"")</f>
        <v/>
      </c>
      <c r="H226" s="9" t="str">
        <f>IFERROR(__xludf.DUMMYFUNCTION("IF(C226="""","""",ROUND(XLOOKUP(C226, FLATTEN(B$1:E225), FLATTEN(O$1:R225), 500, 0, -1)))"),"")</f>
        <v/>
      </c>
      <c r="I226" s="9" t="str">
        <f>IFERROR(__xludf.DUMMYFUNCTION("IF(D226="""","""",ROUND(XLOOKUP(D226, FLATTEN(B$1:E225), FLATTEN(O$1:R225), 500, 0, -1)))"),"")</f>
        <v/>
      </c>
      <c r="J226" s="9" t="str">
        <f>IFERROR(__xludf.DUMMYFUNCTION("IF(E226="""","""",ROUND(XLOOKUP(E226, FLATTEN(B$1:E225), FLATTEN(O$1:R225), 500, 0, -1)))"),"")</f>
        <v/>
      </c>
      <c r="K226" s="9" t="str">
        <f t="shared" si="2"/>
        <v/>
      </c>
      <c r="L226" s="9" t="str">
        <f t="shared" si="3"/>
        <v/>
      </c>
      <c r="M226" s="32" t="str">
        <f t="shared" si="4"/>
        <v/>
      </c>
      <c r="N226" s="9" t="str">
        <f t="shared" si="5"/>
        <v/>
      </c>
      <c r="O226" s="9" t="str">
        <f t="shared" si="6"/>
        <v/>
      </c>
      <c r="P226" s="9" t="str">
        <f t="shared" si="7"/>
        <v/>
      </c>
      <c r="Q226" s="9" t="str">
        <f t="shared" si="8"/>
        <v/>
      </c>
      <c r="R226" s="9" t="str">
        <f t="shared" si="9"/>
        <v/>
      </c>
    </row>
    <row r="227">
      <c r="A227" s="1" t="str">
        <f t="shared" si="1"/>
        <v/>
      </c>
      <c r="G227" s="9" t="str">
        <f>IFERROR(__xludf.DUMMYFUNCTION("IF(B227="""","""",ROUND(XLOOKUP(B227, FLATTEN(B$1:E226), FLATTEN(O$1:R226), 500, 0, -1)))"),"")</f>
        <v/>
      </c>
      <c r="H227" s="9" t="str">
        <f>IFERROR(__xludf.DUMMYFUNCTION("IF(C227="""","""",ROUND(XLOOKUP(C227, FLATTEN(B$1:E226), FLATTEN(O$1:R226), 500, 0, -1)))"),"")</f>
        <v/>
      </c>
      <c r="I227" s="9" t="str">
        <f>IFERROR(__xludf.DUMMYFUNCTION("IF(D227="""","""",ROUND(XLOOKUP(D227, FLATTEN(B$1:E226), FLATTEN(O$1:R226), 500, 0, -1)))"),"")</f>
        <v/>
      </c>
      <c r="J227" s="9" t="str">
        <f>IFERROR(__xludf.DUMMYFUNCTION("IF(E227="""","""",ROUND(XLOOKUP(E227, FLATTEN(B$1:E226), FLATTEN(O$1:R226), 500, 0, -1)))"),"")</f>
        <v/>
      </c>
      <c r="K227" s="9" t="str">
        <f t="shared" si="2"/>
        <v/>
      </c>
      <c r="L227" s="9" t="str">
        <f t="shared" si="3"/>
        <v/>
      </c>
      <c r="M227" s="32" t="str">
        <f t="shared" si="4"/>
        <v/>
      </c>
      <c r="N227" s="9" t="str">
        <f t="shared" si="5"/>
        <v/>
      </c>
      <c r="O227" s="9" t="str">
        <f t="shared" si="6"/>
        <v/>
      </c>
      <c r="P227" s="9" t="str">
        <f t="shared" si="7"/>
        <v/>
      </c>
      <c r="Q227" s="9" t="str">
        <f t="shared" si="8"/>
        <v/>
      </c>
      <c r="R227" s="9" t="str">
        <f t="shared" si="9"/>
        <v/>
      </c>
    </row>
    <row r="228">
      <c r="A228" s="1" t="str">
        <f t="shared" si="1"/>
        <v/>
      </c>
      <c r="G228" s="9" t="str">
        <f>IFERROR(__xludf.DUMMYFUNCTION("IF(B228="""","""",ROUND(XLOOKUP(B228, FLATTEN(B$1:E227), FLATTEN(O$1:R227), 500, 0, -1)))"),"")</f>
        <v/>
      </c>
      <c r="H228" s="9" t="str">
        <f>IFERROR(__xludf.DUMMYFUNCTION("IF(C228="""","""",ROUND(XLOOKUP(C228, FLATTEN(B$1:E227), FLATTEN(O$1:R227), 500, 0, -1)))"),"")</f>
        <v/>
      </c>
      <c r="I228" s="9" t="str">
        <f>IFERROR(__xludf.DUMMYFUNCTION("IF(D228="""","""",ROUND(XLOOKUP(D228, FLATTEN(B$1:E227), FLATTEN(O$1:R227), 500, 0, -1)))"),"")</f>
        <v/>
      </c>
      <c r="J228" s="9" t="str">
        <f>IFERROR(__xludf.DUMMYFUNCTION("IF(E228="""","""",ROUND(XLOOKUP(E228, FLATTEN(B$1:E227), FLATTEN(O$1:R227), 500, 0, -1)))"),"")</f>
        <v/>
      </c>
      <c r="K228" s="9" t="str">
        <f t="shared" si="2"/>
        <v/>
      </c>
      <c r="L228" s="9" t="str">
        <f t="shared" si="3"/>
        <v/>
      </c>
      <c r="M228" s="32" t="str">
        <f t="shared" si="4"/>
        <v/>
      </c>
      <c r="N228" s="9" t="str">
        <f t="shared" si="5"/>
        <v/>
      </c>
      <c r="O228" s="9" t="str">
        <f t="shared" si="6"/>
        <v/>
      </c>
      <c r="P228" s="9" t="str">
        <f t="shared" si="7"/>
        <v/>
      </c>
      <c r="Q228" s="9" t="str">
        <f t="shared" si="8"/>
        <v/>
      </c>
      <c r="R228" s="9" t="str">
        <f t="shared" si="9"/>
        <v/>
      </c>
    </row>
    <row r="229">
      <c r="A229" s="1" t="str">
        <f t="shared" si="1"/>
        <v/>
      </c>
      <c r="G229" s="9" t="str">
        <f>IFERROR(__xludf.DUMMYFUNCTION("IF(B229="""","""",ROUND(XLOOKUP(B229, FLATTEN(B$1:E228), FLATTEN(O$1:R228), 500, 0, -1)))"),"")</f>
        <v/>
      </c>
      <c r="H229" s="9" t="str">
        <f>IFERROR(__xludf.DUMMYFUNCTION("IF(C229="""","""",ROUND(XLOOKUP(C229, FLATTEN(B$1:E228), FLATTEN(O$1:R228), 500, 0, -1)))"),"")</f>
        <v/>
      </c>
      <c r="I229" s="9" t="str">
        <f>IFERROR(__xludf.DUMMYFUNCTION("IF(D229="""","""",ROUND(XLOOKUP(D229, FLATTEN(B$1:E228), FLATTEN(O$1:R228), 500, 0, -1)))"),"")</f>
        <v/>
      </c>
      <c r="J229" s="9" t="str">
        <f>IFERROR(__xludf.DUMMYFUNCTION("IF(E229="""","""",ROUND(XLOOKUP(E229, FLATTEN(B$1:E228), FLATTEN(O$1:R228), 500, 0, -1)))"),"")</f>
        <v/>
      </c>
      <c r="K229" s="9" t="str">
        <f t="shared" si="2"/>
        <v/>
      </c>
      <c r="L229" s="9" t="str">
        <f t="shared" si="3"/>
        <v/>
      </c>
      <c r="M229" s="32" t="str">
        <f t="shared" si="4"/>
        <v/>
      </c>
      <c r="N229" s="9" t="str">
        <f t="shared" si="5"/>
        <v/>
      </c>
      <c r="O229" s="9" t="str">
        <f t="shared" si="6"/>
        <v/>
      </c>
      <c r="P229" s="9" t="str">
        <f t="shared" si="7"/>
        <v/>
      </c>
      <c r="Q229" s="9" t="str">
        <f t="shared" si="8"/>
        <v/>
      </c>
      <c r="R229" s="9" t="str">
        <f t="shared" si="9"/>
        <v/>
      </c>
    </row>
    <row r="230">
      <c r="A230" s="1" t="str">
        <f t="shared" si="1"/>
        <v/>
      </c>
      <c r="G230" s="9" t="str">
        <f>IFERROR(__xludf.DUMMYFUNCTION("IF(B230="""","""",ROUND(XLOOKUP(B230, FLATTEN(B$1:E229), FLATTEN(O$1:R229), 500, 0, -1)))"),"")</f>
        <v/>
      </c>
      <c r="H230" s="9" t="str">
        <f>IFERROR(__xludf.DUMMYFUNCTION("IF(C230="""","""",ROUND(XLOOKUP(C230, FLATTEN(B$1:E229), FLATTEN(O$1:R229), 500, 0, -1)))"),"")</f>
        <v/>
      </c>
      <c r="I230" s="9" t="str">
        <f>IFERROR(__xludf.DUMMYFUNCTION("IF(D230="""","""",ROUND(XLOOKUP(D230, FLATTEN(B$1:E229), FLATTEN(O$1:R229), 500, 0, -1)))"),"")</f>
        <v/>
      </c>
      <c r="J230" s="9" t="str">
        <f>IFERROR(__xludf.DUMMYFUNCTION("IF(E230="""","""",ROUND(XLOOKUP(E230, FLATTEN(B$1:E229), FLATTEN(O$1:R229), 500, 0, -1)))"),"")</f>
        <v/>
      </c>
      <c r="K230" s="9" t="str">
        <f t="shared" si="2"/>
        <v/>
      </c>
      <c r="L230" s="9" t="str">
        <f t="shared" si="3"/>
        <v/>
      </c>
      <c r="M230" s="32" t="str">
        <f t="shared" si="4"/>
        <v/>
      </c>
      <c r="N230" s="9" t="str">
        <f t="shared" si="5"/>
        <v/>
      </c>
      <c r="O230" s="9" t="str">
        <f t="shared" si="6"/>
        <v/>
      </c>
      <c r="P230" s="9" t="str">
        <f t="shared" si="7"/>
        <v/>
      </c>
      <c r="Q230" s="9" t="str">
        <f t="shared" si="8"/>
        <v/>
      </c>
      <c r="R230" s="9" t="str">
        <f t="shared" si="9"/>
        <v/>
      </c>
    </row>
    <row r="231">
      <c r="A231" s="1" t="str">
        <f t="shared" si="1"/>
        <v/>
      </c>
      <c r="G231" s="9" t="str">
        <f>IFERROR(__xludf.DUMMYFUNCTION("IF(B231="""","""",ROUND(XLOOKUP(B231, FLATTEN(B$1:E230), FLATTEN(O$1:R230), 500, 0, -1)))"),"")</f>
        <v/>
      </c>
      <c r="H231" s="9" t="str">
        <f>IFERROR(__xludf.DUMMYFUNCTION("IF(C231="""","""",ROUND(XLOOKUP(C231, FLATTEN(B$1:E230), FLATTEN(O$1:R230), 500, 0, -1)))"),"")</f>
        <v/>
      </c>
      <c r="I231" s="9" t="str">
        <f>IFERROR(__xludf.DUMMYFUNCTION("IF(D231="""","""",ROUND(XLOOKUP(D231, FLATTEN(B$1:E230), FLATTEN(O$1:R230), 500, 0, -1)))"),"")</f>
        <v/>
      </c>
      <c r="J231" s="9" t="str">
        <f>IFERROR(__xludf.DUMMYFUNCTION("IF(E231="""","""",ROUND(XLOOKUP(E231, FLATTEN(B$1:E230), FLATTEN(O$1:R230), 500, 0, -1)))"),"")</f>
        <v/>
      </c>
      <c r="K231" s="9" t="str">
        <f t="shared" si="2"/>
        <v/>
      </c>
      <c r="L231" s="9" t="str">
        <f t="shared" si="3"/>
        <v/>
      </c>
      <c r="M231" s="32" t="str">
        <f t="shared" si="4"/>
        <v/>
      </c>
      <c r="N231" s="9" t="str">
        <f t="shared" si="5"/>
        <v/>
      </c>
      <c r="O231" s="9" t="str">
        <f t="shared" si="6"/>
        <v/>
      </c>
      <c r="P231" s="9" t="str">
        <f t="shared" si="7"/>
        <v/>
      </c>
      <c r="Q231" s="9" t="str">
        <f t="shared" si="8"/>
        <v/>
      </c>
      <c r="R231" s="9" t="str">
        <f t="shared" si="9"/>
        <v/>
      </c>
    </row>
    <row r="232">
      <c r="A232" s="1" t="str">
        <f t="shared" si="1"/>
        <v/>
      </c>
      <c r="G232" s="9" t="str">
        <f>IFERROR(__xludf.DUMMYFUNCTION("IF(B232="""","""",ROUND(XLOOKUP(B232, FLATTEN(B$1:E231), FLATTEN(O$1:R231), 500, 0, -1)))"),"")</f>
        <v/>
      </c>
      <c r="H232" s="9" t="str">
        <f>IFERROR(__xludf.DUMMYFUNCTION("IF(C232="""","""",ROUND(XLOOKUP(C232, FLATTEN(B$1:E231), FLATTEN(O$1:R231), 500, 0, -1)))"),"")</f>
        <v/>
      </c>
      <c r="I232" s="9" t="str">
        <f>IFERROR(__xludf.DUMMYFUNCTION("IF(D232="""","""",ROUND(XLOOKUP(D232, FLATTEN(B$1:E231), FLATTEN(O$1:R231), 500, 0, -1)))"),"")</f>
        <v/>
      </c>
      <c r="J232" s="9" t="str">
        <f>IFERROR(__xludf.DUMMYFUNCTION("IF(E232="""","""",ROUND(XLOOKUP(E232, FLATTEN(B$1:E231), FLATTEN(O$1:R231), 500, 0, -1)))"),"")</f>
        <v/>
      </c>
      <c r="K232" s="9" t="str">
        <f t="shared" si="2"/>
        <v/>
      </c>
      <c r="L232" s="9" t="str">
        <f t="shared" si="3"/>
        <v/>
      </c>
      <c r="M232" s="32" t="str">
        <f t="shared" si="4"/>
        <v/>
      </c>
      <c r="N232" s="9" t="str">
        <f t="shared" si="5"/>
        <v/>
      </c>
      <c r="O232" s="9" t="str">
        <f t="shared" si="6"/>
        <v/>
      </c>
      <c r="P232" s="9" t="str">
        <f t="shared" si="7"/>
        <v/>
      </c>
      <c r="Q232" s="9" t="str">
        <f t="shared" si="8"/>
        <v/>
      </c>
      <c r="R232" s="9" t="str">
        <f t="shared" si="9"/>
        <v/>
      </c>
    </row>
    <row r="233">
      <c r="A233" s="1" t="str">
        <f t="shared" si="1"/>
        <v/>
      </c>
      <c r="G233" s="9" t="str">
        <f>IFERROR(__xludf.DUMMYFUNCTION("IF(B233="""","""",ROUND(XLOOKUP(B233, FLATTEN(B$1:E232), FLATTEN(O$1:R232), 500, 0, -1)))"),"")</f>
        <v/>
      </c>
      <c r="H233" s="9" t="str">
        <f>IFERROR(__xludf.DUMMYFUNCTION("IF(C233="""","""",ROUND(XLOOKUP(C233, FLATTEN(B$1:E232), FLATTEN(O$1:R232), 500, 0, -1)))"),"")</f>
        <v/>
      </c>
      <c r="I233" s="9" t="str">
        <f>IFERROR(__xludf.DUMMYFUNCTION("IF(D233="""","""",ROUND(XLOOKUP(D233, FLATTEN(B$1:E232), FLATTEN(O$1:R232), 500, 0, -1)))"),"")</f>
        <v/>
      </c>
      <c r="J233" s="9" t="str">
        <f>IFERROR(__xludf.DUMMYFUNCTION("IF(E233="""","""",ROUND(XLOOKUP(E233, FLATTEN(B$1:E232), FLATTEN(O$1:R232), 500, 0, -1)))"),"")</f>
        <v/>
      </c>
      <c r="K233" s="9" t="str">
        <f t="shared" si="2"/>
        <v/>
      </c>
      <c r="L233" s="9" t="str">
        <f t="shared" si="3"/>
        <v/>
      </c>
      <c r="M233" s="32" t="str">
        <f t="shared" si="4"/>
        <v/>
      </c>
      <c r="N233" s="9" t="str">
        <f t="shared" si="5"/>
        <v/>
      </c>
      <c r="O233" s="9" t="str">
        <f t="shared" si="6"/>
        <v/>
      </c>
      <c r="P233" s="9" t="str">
        <f t="shared" si="7"/>
        <v/>
      </c>
      <c r="Q233" s="9" t="str">
        <f t="shared" si="8"/>
        <v/>
      </c>
      <c r="R233" s="9" t="str">
        <f t="shared" si="9"/>
        <v/>
      </c>
    </row>
    <row r="234">
      <c r="A234" s="1" t="str">
        <f t="shared" si="1"/>
        <v/>
      </c>
      <c r="G234" s="9" t="str">
        <f>IFERROR(__xludf.DUMMYFUNCTION("IF(B234="""","""",ROUND(XLOOKUP(B234, FLATTEN(B$1:E233), FLATTEN(O$1:R233), 500, 0, -1)))"),"")</f>
        <v/>
      </c>
      <c r="H234" s="9" t="str">
        <f>IFERROR(__xludf.DUMMYFUNCTION("IF(C234="""","""",ROUND(XLOOKUP(C234, FLATTEN(B$1:E233), FLATTEN(O$1:R233), 500, 0, -1)))"),"")</f>
        <v/>
      </c>
      <c r="I234" s="9" t="str">
        <f>IFERROR(__xludf.DUMMYFUNCTION("IF(D234="""","""",ROUND(XLOOKUP(D234, FLATTEN(B$1:E233), FLATTEN(O$1:R233), 500, 0, -1)))"),"")</f>
        <v/>
      </c>
      <c r="J234" s="9" t="str">
        <f>IFERROR(__xludf.DUMMYFUNCTION("IF(E234="""","""",ROUND(XLOOKUP(E234, FLATTEN(B$1:E233), FLATTEN(O$1:R233), 500, 0, -1)))"),"")</f>
        <v/>
      </c>
      <c r="K234" s="9" t="str">
        <f t="shared" si="2"/>
        <v/>
      </c>
      <c r="L234" s="9" t="str">
        <f t="shared" si="3"/>
        <v/>
      </c>
      <c r="M234" s="32" t="str">
        <f t="shared" si="4"/>
        <v/>
      </c>
      <c r="N234" s="9" t="str">
        <f t="shared" si="5"/>
        <v/>
      </c>
      <c r="O234" s="9" t="str">
        <f t="shared" si="6"/>
        <v/>
      </c>
      <c r="P234" s="9" t="str">
        <f t="shared" si="7"/>
        <v/>
      </c>
      <c r="Q234" s="9" t="str">
        <f t="shared" si="8"/>
        <v/>
      </c>
      <c r="R234" s="9" t="str">
        <f t="shared" si="9"/>
        <v/>
      </c>
    </row>
    <row r="235">
      <c r="A235" s="1" t="str">
        <f t="shared" si="1"/>
        <v/>
      </c>
      <c r="G235" s="9" t="str">
        <f>IFERROR(__xludf.DUMMYFUNCTION("IF(B235="""","""",ROUND(XLOOKUP(B235, FLATTEN(B$1:E234), FLATTEN(O$1:R234), 500, 0, -1)))"),"")</f>
        <v/>
      </c>
      <c r="H235" s="9" t="str">
        <f>IFERROR(__xludf.DUMMYFUNCTION("IF(C235="""","""",ROUND(XLOOKUP(C235, FLATTEN(B$1:E234), FLATTEN(O$1:R234), 500, 0, -1)))"),"")</f>
        <v/>
      </c>
      <c r="I235" s="9" t="str">
        <f>IFERROR(__xludf.DUMMYFUNCTION("IF(D235="""","""",ROUND(XLOOKUP(D235, FLATTEN(B$1:E234), FLATTEN(O$1:R234), 500, 0, -1)))"),"")</f>
        <v/>
      </c>
      <c r="J235" s="9" t="str">
        <f>IFERROR(__xludf.DUMMYFUNCTION("IF(E235="""","""",ROUND(XLOOKUP(E235, FLATTEN(B$1:E234), FLATTEN(O$1:R234), 500, 0, -1)))"),"")</f>
        <v/>
      </c>
      <c r="K235" s="9" t="str">
        <f t="shared" si="2"/>
        <v/>
      </c>
      <c r="L235" s="9" t="str">
        <f t="shared" si="3"/>
        <v/>
      </c>
      <c r="M235" s="32" t="str">
        <f t="shared" si="4"/>
        <v/>
      </c>
      <c r="N235" s="9" t="str">
        <f t="shared" si="5"/>
        <v/>
      </c>
      <c r="O235" s="9" t="str">
        <f t="shared" si="6"/>
        <v/>
      </c>
      <c r="P235" s="9" t="str">
        <f t="shared" si="7"/>
        <v/>
      </c>
      <c r="Q235" s="9" t="str">
        <f t="shared" si="8"/>
        <v/>
      </c>
      <c r="R235" s="9" t="str">
        <f t="shared" si="9"/>
        <v/>
      </c>
    </row>
    <row r="236">
      <c r="A236" s="1" t="str">
        <f t="shared" si="1"/>
        <v/>
      </c>
      <c r="G236" s="9" t="str">
        <f>IFERROR(__xludf.DUMMYFUNCTION("IF(B236="""","""",ROUND(XLOOKUP(B236, FLATTEN(B$1:E235), FLATTEN(O$1:R235), 500, 0, -1)))"),"")</f>
        <v/>
      </c>
      <c r="H236" s="9" t="str">
        <f>IFERROR(__xludf.DUMMYFUNCTION("IF(C236="""","""",ROUND(XLOOKUP(C236, FLATTEN(B$1:E235), FLATTEN(O$1:R235), 500, 0, -1)))"),"")</f>
        <v/>
      </c>
      <c r="I236" s="9" t="str">
        <f>IFERROR(__xludf.DUMMYFUNCTION("IF(D236="""","""",ROUND(XLOOKUP(D236, FLATTEN(B$1:E235), FLATTEN(O$1:R235), 500, 0, -1)))"),"")</f>
        <v/>
      </c>
      <c r="J236" s="9" t="str">
        <f>IFERROR(__xludf.DUMMYFUNCTION("IF(E236="""","""",ROUND(XLOOKUP(E236, FLATTEN(B$1:E235), FLATTEN(O$1:R235), 500, 0, -1)))"),"")</f>
        <v/>
      </c>
      <c r="K236" s="9" t="str">
        <f t="shared" si="2"/>
        <v/>
      </c>
      <c r="L236" s="9" t="str">
        <f t="shared" si="3"/>
        <v/>
      </c>
      <c r="M236" s="32" t="str">
        <f t="shared" si="4"/>
        <v/>
      </c>
      <c r="N236" s="9" t="str">
        <f t="shared" si="5"/>
        <v/>
      </c>
      <c r="O236" s="9" t="str">
        <f t="shared" si="6"/>
        <v/>
      </c>
      <c r="P236" s="9" t="str">
        <f t="shared" si="7"/>
        <v/>
      </c>
      <c r="Q236" s="9" t="str">
        <f t="shared" si="8"/>
        <v/>
      </c>
      <c r="R236" s="9" t="str">
        <f t="shared" si="9"/>
        <v/>
      </c>
    </row>
    <row r="237">
      <c r="A237" s="1" t="str">
        <f t="shared" si="1"/>
        <v/>
      </c>
      <c r="G237" s="9" t="str">
        <f>IFERROR(__xludf.DUMMYFUNCTION("IF(B237="""","""",ROUND(XLOOKUP(B237, FLATTEN(B$1:E236), FLATTEN(O$1:R236), 500, 0, -1)))"),"")</f>
        <v/>
      </c>
      <c r="H237" s="9" t="str">
        <f>IFERROR(__xludf.DUMMYFUNCTION("IF(C237="""","""",ROUND(XLOOKUP(C237, FLATTEN(B$1:E236), FLATTEN(O$1:R236), 500, 0, -1)))"),"")</f>
        <v/>
      </c>
      <c r="I237" s="9" t="str">
        <f>IFERROR(__xludf.DUMMYFUNCTION("IF(D237="""","""",ROUND(XLOOKUP(D237, FLATTEN(B$1:E236), FLATTEN(O$1:R236), 500, 0, -1)))"),"")</f>
        <v/>
      </c>
      <c r="J237" s="9" t="str">
        <f>IFERROR(__xludf.DUMMYFUNCTION("IF(E237="""","""",ROUND(XLOOKUP(E237, FLATTEN(B$1:E236), FLATTEN(O$1:R236), 500, 0, -1)))"),"")</f>
        <v/>
      </c>
      <c r="K237" s="9" t="str">
        <f t="shared" si="2"/>
        <v/>
      </c>
      <c r="L237" s="9" t="str">
        <f t="shared" si="3"/>
        <v/>
      </c>
      <c r="M237" s="32" t="str">
        <f t="shared" si="4"/>
        <v/>
      </c>
      <c r="N237" s="9" t="str">
        <f t="shared" si="5"/>
        <v/>
      </c>
      <c r="O237" s="9" t="str">
        <f t="shared" si="6"/>
        <v/>
      </c>
      <c r="P237" s="9" t="str">
        <f t="shared" si="7"/>
        <v/>
      </c>
      <c r="Q237" s="9" t="str">
        <f t="shared" si="8"/>
        <v/>
      </c>
      <c r="R237" s="9" t="str">
        <f t="shared" si="9"/>
        <v/>
      </c>
    </row>
    <row r="238">
      <c r="A238" s="1" t="str">
        <f t="shared" si="1"/>
        <v/>
      </c>
      <c r="G238" s="9" t="str">
        <f>IFERROR(__xludf.DUMMYFUNCTION("IF(B238="""","""",ROUND(XLOOKUP(B238, FLATTEN(B$1:E237), FLATTEN(O$1:R237), 500, 0, -1)))"),"")</f>
        <v/>
      </c>
      <c r="H238" s="9" t="str">
        <f>IFERROR(__xludf.DUMMYFUNCTION("IF(C238="""","""",ROUND(XLOOKUP(C238, FLATTEN(B$1:E237), FLATTEN(O$1:R237), 500, 0, -1)))"),"")</f>
        <v/>
      </c>
      <c r="I238" s="9" t="str">
        <f>IFERROR(__xludf.DUMMYFUNCTION("IF(D238="""","""",ROUND(XLOOKUP(D238, FLATTEN(B$1:E237), FLATTEN(O$1:R237), 500, 0, -1)))"),"")</f>
        <v/>
      </c>
      <c r="J238" s="9" t="str">
        <f>IFERROR(__xludf.DUMMYFUNCTION("IF(E238="""","""",ROUND(XLOOKUP(E238, FLATTEN(B$1:E237), FLATTEN(O$1:R237), 500, 0, -1)))"),"")</f>
        <v/>
      </c>
      <c r="K238" s="9" t="str">
        <f t="shared" si="2"/>
        <v/>
      </c>
      <c r="L238" s="9" t="str">
        <f t="shared" si="3"/>
        <v/>
      </c>
      <c r="M238" s="32" t="str">
        <f t="shared" si="4"/>
        <v/>
      </c>
      <c r="N238" s="9" t="str">
        <f t="shared" si="5"/>
        <v/>
      </c>
      <c r="O238" s="9" t="str">
        <f t="shared" si="6"/>
        <v/>
      </c>
      <c r="P238" s="9" t="str">
        <f t="shared" si="7"/>
        <v/>
      </c>
      <c r="Q238" s="9" t="str">
        <f t="shared" si="8"/>
        <v/>
      </c>
      <c r="R238" s="9" t="str">
        <f t="shared" si="9"/>
        <v/>
      </c>
    </row>
    <row r="239">
      <c r="A239" s="1" t="str">
        <f t="shared" si="1"/>
        <v/>
      </c>
      <c r="G239" s="9" t="str">
        <f>IFERROR(__xludf.DUMMYFUNCTION("IF(B239="""","""",ROUND(XLOOKUP(B239, FLATTEN(B$1:E238), FLATTEN(O$1:R238), 500, 0, -1)))"),"")</f>
        <v/>
      </c>
      <c r="H239" s="9" t="str">
        <f>IFERROR(__xludf.DUMMYFUNCTION("IF(C239="""","""",ROUND(XLOOKUP(C239, FLATTEN(B$1:E238), FLATTEN(O$1:R238), 500, 0, -1)))"),"")</f>
        <v/>
      </c>
      <c r="I239" s="9" t="str">
        <f>IFERROR(__xludf.DUMMYFUNCTION("IF(D239="""","""",ROUND(XLOOKUP(D239, FLATTEN(B$1:E238), FLATTEN(O$1:R238), 500, 0, -1)))"),"")</f>
        <v/>
      </c>
      <c r="J239" s="9" t="str">
        <f>IFERROR(__xludf.DUMMYFUNCTION("IF(E239="""","""",ROUND(XLOOKUP(E239, FLATTEN(B$1:E238), FLATTEN(O$1:R238), 500, 0, -1)))"),"")</f>
        <v/>
      </c>
      <c r="K239" s="9" t="str">
        <f t="shared" si="2"/>
        <v/>
      </c>
      <c r="L239" s="9" t="str">
        <f t="shared" si="3"/>
        <v/>
      </c>
      <c r="M239" s="32" t="str">
        <f t="shared" si="4"/>
        <v/>
      </c>
      <c r="N239" s="9" t="str">
        <f t="shared" si="5"/>
        <v/>
      </c>
      <c r="O239" s="9" t="str">
        <f t="shared" si="6"/>
        <v/>
      </c>
      <c r="P239" s="9" t="str">
        <f t="shared" si="7"/>
        <v/>
      </c>
      <c r="Q239" s="9" t="str">
        <f t="shared" si="8"/>
        <v/>
      </c>
      <c r="R239" s="9" t="str">
        <f t="shared" si="9"/>
        <v/>
      </c>
    </row>
    <row r="240">
      <c r="A240" s="1" t="str">
        <f t="shared" si="1"/>
        <v/>
      </c>
      <c r="G240" s="9" t="str">
        <f>IFERROR(__xludf.DUMMYFUNCTION("IF(B240="""","""",ROUND(XLOOKUP(B240, FLATTEN(B$1:E239), FLATTEN(O$1:R239), 500, 0, -1)))"),"")</f>
        <v/>
      </c>
      <c r="H240" s="9" t="str">
        <f>IFERROR(__xludf.DUMMYFUNCTION("IF(C240="""","""",ROUND(XLOOKUP(C240, FLATTEN(B$1:E239), FLATTEN(O$1:R239), 500, 0, -1)))"),"")</f>
        <v/>
      </c>
      <c r="I240" s="9" t="str">
        <f>IFERROR(__xludf.DUMMYFUNCTION("IF(D240="""","""",ROUND(XLOOKUP(D240, FLATTEN(B$1:E239), FLATTEN(O$1:R239), 500, 0, -1)))"),"")</f>
        <v/>
      </c>
      <c r="J240" s="9" t="str">
        <f>IFERROR(__xludf.DUMMYFUNCTION("IF(E240="""","""",ROUND(XLOOKUP(E240, FLATTEN(B$1:E239), FLATTEN(O$1:R239), 500, 0, -1)))"),"")</f>
        <v/>
      </c>
      <c r="K240" s="9" t="str">
        <f t="shared" si="2"/>
        <v/>
      </c>
      <c r="L240" s="9" t="str">
        <f t="shared" si="3"/>
        <v/>
      </c>
      <c r="M240" s="32" t="str">
        <f t="shared" si="4"/>
        <v/>
      </c>
      <c r="N240" s="9" t="str">
        <f t="shared" si="5"/>
        <v/>
      </c>
      <c r="O240" s="9" t="str">
        <f t="shared" si="6"/>
        <v/>
      </c>
      <c r="P240" s="9" t="str">
        <f t="shared" si="7"/>
        <v/>
      </c>
      <c r="Q240" s="9" t="str">
        <f t="shared" si="8"/>
        <v/>
      </c>
      <c r="R240" s="9" t="str">
        <f t="shared" si="9"/>
        <v/>
      </c>
    </row>
    <row r="241">
      <c r="A241" s="1" t="str">
        <f t="shared" si="1"/>
        <v/>
      </c>
      <c r="G241" s="9" t="str">
        <f>IFERROR(__xludf.DUMMYFUNCTION("IF(B241="""","""",ROUND(XLOOKUP(B241, FLATTEN(B$1:E240), FLATTEN(O$1:R240), 500, 0, -1)))"),"")</f>
        <v/>
      </c>
      <c r="H241" s="9" t="str">
        <f>IFERROR(__xludf.DUMMYFUNCTION("IF(C241="""","""",ROUND(XLOOKUP(C241, FLATTEN(B$1:E240), FLATTEN(O$1:R240), 500, 0, -1)))"),"")</f>
        <v/>
      </c>
      <c r="I241" s="9" t="str">
        <f>IFERROR(__xludf.DUMMYFUNCTION("IF(D241="""","""",ROUND(XLOOKUP(D241, FLATTEN(B$1:E240), FLATTEN(O$1:R240), 500, 0, -1)))"),"")</f>
        <v/>
      </c>
      <c r="J241" s="9" t="str">
        <f>IFERROR(__xludf.DUMMYFUNCTION("IF(E241="""","""",ROUND(XLOOKUP(E241, FLATTEN(B$1:E240), FLATTEN(O$1:R240), 500, 0, -1)))"),"")</f>
        <v/>
      </c>
      <c r="K241" s="9" t="str">
        <f t="shared" si="2"/>
        <v/>
      </c>
      <c r="L241" s="9" t="str">
        <f t="shared" si="3"/>
        <v/>
      </c>
      <c r="M241" s="32" t="str">
        <f t="shared" si="4"/>
        <v/>
      </c>
      <c r="N241" s="9" t="str">
        <f t="shared" si="5"/>
        <v/>
      </c>
      <c r="O241" s="9" t="str">
        <f t="shared" si="6"/>
        <v/>
      </c>
      <c r="P241" s="9" t="str">
        <f t="shared" si="7"/>
        <v/>
      </c>
      <c r="Q241" s="9" t="str">
        <f t="shared" si="8"/>
        <v/>
      </c>
      <c r="R241" s="9" t="str">
        <f t="shared" si="9"/>
        <v/>
      </c>
    </row>
    <row r="242">
      <c r="A242" s="1" t="str">
        <f t="shared" si="1"/>
        <v/>
      </c>
      <c r="G242" s="9" t="str">
        <f>IFERROR(__xludf.DUMMYFUNCTION("IF(B242="""","""",ROUND(XLOOKUP(B242, FLATTEN(B$1:E241), FLATTEN(O$1:R241), 500, 0, -1)))"),"")</f>
        <v/>
      </c>
      <c r="H242" s="9" t="str">
        <f>IFERROR(__xludf.DUMMYFUNCTION("IF(C242="""","""",ROUND(XLOOKUP(C242, FLATTEN(B$1:E241), FLATTEN(O$1:R241), 500, 0, -1)))"),"")</f>
        <v/>
      </c>
      <c r="I242" s="9" t="str">
        <f>IFERROR(__xludf.DUMMYFUNCTION("IF(D242="""","""",ROUND(XLOOKUP(D242, FLATTEN(B$1:E241), FLATTEN(O$1:R241), 500, 0, -1)))"),"")</f>
        <v/>
      </c>
      <c r="J242" s="9" t="str">
        <f>IFERROR(__xludf.DUMMYFUNCTION("IF(E242="""","""",ROUND(XLOOKUP(E242, FLATTEN(B$1:E241), FLATTEN(O$1:R241), 500, 0, -1)))"),"")</f>
        <v/>
      </c>
      <c r="K242" s="9" t="str">
        <f t="shared" si="2"/>
        <v/>
      </c>
      <c r="L242" s="9" t="str">
        <f t="shared" si="3"/>
        <v/>
      </c>
      <c r="M242" s="32" t="str">
        <f t="shared" si="4"/>
        <v/>
      </c>
      <c r="N242" s="9" t="str">
        <f t="shared" si="5"/>
        <v/>
      </c>
      <c r="O242" s="9" t="str">
        <f t="shared" si="6"/>
        <v/>
      </c>
      <c r="P242" s="9" t="str">
        <f t="shared" si="7"/>
        <v/>
      </c>
      <c r="Q242" s="9" t="str">
        <f t="shared" si="8"/>
        <v/>
      </c>
      <c r="R242" s="9" t="str">
        <f t="shared" si="9"/>
        <v/>
      </c>
    </row>
    <row r="243">
      <c r="A243" s="1" t="str">
        <f t="shared" si="1"/>
        <v/>
      </c>
      <c r="G243" s="9" t="str">
        <f>IFERROR(__xludf.DUMMYFUNCTION("IF(B243="""","""",ROUND(XLOOKUP(B243, FLATTEN(B$1:E242), FLATTEN(O$1:R242), 500, 0, -1)))"),"")</f>
        <v/>
      </c>
      <c r="H243" s="9" t="str">
        <f>IFERROR(__xludf.DUMMYFUNCTION("IF(C243="""","""",ROUND(XLOOKUP(C243, FLATTEN(B$1:E242), FLATTEN(O$1:R242), 500, 0, -1)))"),"")</f>
        <v/>
      </c>
      <c r="I243" s="9" t="str">
        <f>IFERROR(__xludf.DUMMYFUNCTION("IF(D243="""","""",ROUND(XLOOKUP(D243, FLATTEN(B$1:E242), FLATTEN(O$1:R242), 500, 0, -1)))"),"")</f>
        <v/>
      </c>
      <c r="J243" s="9" t="str">
        <f>IFERROR(__xludf.DUMMYFUNCTION("IF(E243="""","""",ROUND(XLOOKUP(E243, FLATTEN(B$1:E242), FLATTEN(O$1:R242), 500, 0, -1)))"),"")</f>
        <v/>
      </c>
      <c r="K243" s="9" t="str">
        <f t="shared" si="2"/>
        <v/>
      </c>
      <c r="L243" s="9" t="str">
        <f t="shared" si="3"/>
        <v/>
      </c>
      <c r="M243" s="32" t="str">
        <f t="shared" si="4"/>
        <v/>
      </c>
      <c r="N243" s="9" t="str">
        <f t="shared" si="5"/>
        <v/>
      </c>
      <c r="O243" s="9" t="str">
        <f t="shared" si="6"/>
        <v/>
      </c>
      <c r="P243" s="9" t="str">
        <f t="shared" si="7"/>
        <v/>
      </c>
      <c r="Q243" s="9" t="str">
        <f t="shared" si="8"/>
        <v/>
      </c>
      <c r="R243" s="9" t="str">
        <f t="shared" si="9"/>
        <v/>
      </c>
    </row>
    <row r="244">
      <c r="A244" s="1" t="str">
        <f t="shared" si="1"/>
        <v/>
      </c>
      <c r="G244" s="9" t="str">
        <f>IFERROR(__xludf.DUMMYFUNCTION("IF(B244="""","""",ROUND(XLOOKUP(B244, FLATTEN(B$1:E243), FLATTEN(O$1:R243), 500, 0, -1)))"),"")</f>
        <v/>
      </c>
      <c r="H244" s="9" t="str">
        <f>IFERROR(__xludf.DUMMYFUNCTION("IF(C244="""","""",ROUND(XLOOKUP(C244, FLATTEN(B$1:E243), FLATTEN(O$1:R243), 500, 0, -1)))"),"")</f>
        <v/>
      </c>
      <c r="I244" s="9" t="str">
        <f>IFERROR(__xludf.DUMMYFUNCTION("IF(D244="""","""",ROUND(XLOOKUP(D244, FLATTEN(B$1:E243), FLATTEN(O$1:R243), 500, 0, -1)))"),"")</f>
        <v/>
      </c>
      <c r="J244" s="9" t="str">
        <f>IFERROR(__xludf.DUMMYFUNCTION("IF(E244="""","""",ROUND(XLOOKUP(E244, FLATTEN(B$1:E243), FLATTEN(O$1:R243), 500, 0, -1)))"),"")</f>
        <v/>
      </c>
      <c r="K244" s="9" t="str">
        <f t="shared" si="2"/>
        <v/>
      </c>
      <c r="L244" s="9" t="str">
        <f t="shared" si="3"/>
        <v/>
      </c>
      <c r="M244" s="32" t="str">
        <f t="shared" si="4"/>
        <v/>
      </c>
      <c r="N244" s="9" t="str">
        <f t="shared" si="5"/>
        <v/>
      </c>
      <c r="O244" s="9" t="str">
        <f t="shared" si="6"/>
        <v/>
      </c>
      <c r="P244" s="9" t="str">
        <f t="shared" si="7"/>
        <v/>
      </c>
      <c r="Q244" s="9" t="str">
        <f t="shared" si="8"/>
        <v/>
      </c>
      <c r="R244" s="9" t="str">
        <f t="shared" si="9"/>
        <v/>
      </c>
    </row>
    <row r="245">
      <c r="A245" s="1" t="str">
        <f t="shared" si="1"/>
        <v/>
      </c>
      <c r="G245" s="9" t="str">
        <f>IFERROR(__xludf.DUMMYFUNCTION("IF(B245="""","""",ROUND(XLOOKUP(B245, FLATTEN(B$1:E244), FLATTEN(O$1:R244), 500, 0, -1)))"),"")</f>
        <v/>
      </c>
      <c r="H245" s="9" t="str">
        <f>IFERROR(__xludf.DUMMYFUNCTION("IF(C245="""","""",ROUND(XLOOKUP(C245, FLATTEN(B$1:E244), FLATTEN(O$1:R244), 500, 0, -1)))"),"")</f>
        <v/>
      </c>
      <c r="I245" s="9" t="str">
        <f>IFERROR(__xludf.DUMMYFUNCTION("IF(D245="""","""",ROUND(XLOOKUP(D245, FLATTEN(B$1:E244), FLATTEN(O$1:R244), 500, 0, -1)))"),"")</f>
        <v/>
      </c>
      <c r="J245" s="9" t="str">
        <f>IFERROR(__xludf.DUMMYFUNCTION("IF(E245="""","""",ROUND(XLOOKUP(E245, FLATTEN(B$1:E244), FLATTEN(O$1:R244), 500, 0, -1)))"),"")</f>
        <v/>
      </c>
      <c r="K245" s="9" t="str">
        <f t="shared" si="2"/>
        <v/>
      </c>
      <c r="L245" s="9" t="str">
        <f t="shared" si="3"/>
        <v/>
      </c>
      <c r="M245" s="32" t="str">
        <f t="shared" si="4"/>
        <v/>
      </c>
      <c r="N245" s="9" t="str">
        <f t="shared" si="5"/>
        <v/>
      </c>
      <c r="O245" s="9" t="str">
        <f t="shared" si="6"/>
        <v/>
      </c>
      <c r="P245" s="9" t="str">
        <f t="shared" si="7"/>
        <v/>
      </c>
      <c r="Q245" s="9" t="str">
        <f t="shared" si="8"/>
        <v/>
      </c>
      <c r="R245" s="9" t="str">
        <f t="shared" si="9"/>
        <v/>
      </c>
    </row>
    <row r="246">
      <c r="A246" s="1" t="str">
        <f t="shared" si="1"/>
        <v/>
      </c>
      <c r="G246" s="9" t="str">
        <f>IFERROR(__xludf.DUMMYFUNCTION("IF(B246="""","""",ROUND(XLOOKUP(B246, FLATTEN(B$1:E245), FLATTEN(O$1:R245), 500, 0, -1)))"),"")</f>
        <v/>
      </c>
      <c r="H246" s="9" t="str">
        <f>IFERROR(__xludf.DUMMYFUNCTION("IF(C246="""","""",ROUND(XLOOKUP(C246, FLATTEN(B$1:E245), FLATTEN(O$1:R245), 500, 0, -1)))"),"")</f>
        <v/>
      </c>
      <c r="I246" s="9" t="str">
        <f>IFERROR(__xludf.DUMMYFUNCTION("IF(D246="""","""",ROUND(XLOOKUP(D246, FLATTEN(B$1:E245), FLATTEN(O$1:R245), 500, 0, -1)))"),"")</f>
        <v/>
      </c>
      <c r="J246" s="9" t="str">
        <f>IFERROR(__xludf.DUMMYFUNCTION("IF(E246="""","""",ROUND(XLOOKUP(E246, FLATTEN(B$1:E245), FLATTEN(O$1:R245), 500, 0, -1)))"),"")</f>
        <v/>
      </c>
      <c r="K246" s="9" t="str">
        <f t="shared" si="2"/>
        <v/>
      </c>
      <c r="L246" s="9" t="str">
        <f t="shared" si="3"/>
        <v/>
      </c>
      <c r="M246" s="32" t="str">
        <f t="shared" si="4"/>
        <v/>
      </c>
      <c r="N246" s="9" t="str">
        <f t="shared" si="5"/>
        <v/>
      </c>
      <c r="O246" s="9" t="str">
        <f t="shared" si="6"/>
        <v/>
      </c>
      <c r="P246" s="9" t="str">
        <f t="shared" si="7"/>
        <v/>
      </c>
      <c r="Q246" s="9" t="str">
        <f t="shared" si="8"/>
        <v/>
      </c>
      <c r="R246" s="9" t="str">
        <f t="shared" si="9"/>
        <v/>
      </c>
    </row>
    <row r="247">
      <c r="A247" s="1" t="str">
        <f t="shared" si="1"/>
        <v/>
      </c>
      <c r="G247" s="9" t="str">
        <f>IFERROR(__xludf.DUMMYFUNCTION("IF(B247="""","""",ROUND(XLOOKUP(B247, FLATTEN(B$1:E246), FLATTEN(O$1:R246), 500, 0, -1)))"),"")</f>
        <v/>
      </c>
      <c r="H247" s="9" t="str">
        <f>IFERROR(__xludf.DUMMYFUNCTION("IF(C247="""","""",ROUND(XLOOKUP(C247, FLATTEN(B$1:E246), FLATTEN(O$1:R246), 500, 0, -1)))"),"")</f>
        <v/>
      </c>
      <c r="I247" s="9" t="str">
        <f>IFERROR(__xludf.DUMMYFUNCTION("IF(D247="""","""",ROUND(XLOOKUP(D247, FLATTEN(B$1:E246), FLATTEN(O$1:R246), 500, 0, -1)))"),"")</f>
        <v/>
      </c>
      <c r="J247" s="9" t="str">
        <f>IFERROR(__xludf.DUMMYFUNCTION("IF(E247="""","""",ROUND(XLOOKUP(E247, FLATTEN(B$1:E246), FLATTEN(O$1:R246), 500, 0, -1)))"),"")</f>
        <v/>
      </c>
      <c r="K247" s="9" t="str">
        <f t="shared" si="2"/>
        <v/>
      </c>
      <c r="L247" s="9" t="str">
        <f t="shared" si="3"/>
        <v/>
      </c>
      <c r="M247" s="32" t="str">
        <f t="shared" si="4"/>
        <v/>
      </c>
      <c r="N247" s="9" t="str">
        <f t="shared" si="5"/>
        <v/>
      </c>
      <c r="O247" s="9" t="str">
        <f t="shared" si="6"/>
        <v/>
      </c>
      <c r="P247" s="9" t="str">
        <f t="shared" si="7"/>
        <v/>
      </c>
      <c r="Q247" s="9" t="str">
        <f t="shared" si="8"/>
        <v/>
      </c>
      <c r="R247" s="9" t="str">
        <f t="shared" si="9"/>
        <v/>
      </c>
    </row>
    <row r="248">
      <c r="A248" s="1" t="str">
        <f t="shared" si="1"/>
        <v/>
      </c>
      <c r="G248" s="9" t="str">
        <f>IFERROR(__xludf.DUMMYFUNCTION("IF(B248="""","""",ROUND(XLOOKUP(B248, FLATTEN(B$1:E247), FLATTEN(O$1:R247), 500, 0, -1)))"),"")</f>
        <v/>
      </c>
      <c r="H248" s="9" t="str">
        <f>IFERROR(__xludf.DUMMYFUNCTION("IF(C248="""","""",ROUND(XLOOKUP(C248, FLATTEN(B$1:E247), FLATTEN(O$1:R247), 500, 0, -1)))"),"")</f>
        <v/>
      </c>
      <c r="I248" s="9" t="str">
        <f>IFERROR(__xludf.DUMMYFUNCTION("IF(D248="""","""",ROUND(XLOOKUP(D248, FLATTEN(B$1:E247), FLATTEN(O$1:R247), 500, 0, -1)))"),"")</f>
        <v/>
      </c>
      <c r="J248" s="9" t="str">
        <f>IFERROR(__xludf.DUMMYFUNCTION("IF(E248="""","""",ROUND(XLOOKUP(E248, FLATTEN(B$1:E247), FLATTEN(O$1:R247), 500, 0, -1)))"),"")</f>
        <v/>
      </c>
      <c r="K248" s="9" t="str">
        <f t="shared" si="2"/>
        <v/>
      </c>
      <c r="L248" s="9" t="str">
        <f t="shared" si="3"/>
        <v/>
      </c>
      <c r="M248" s="32" t="str">
        <f t="shared" si="4"/>
        <v/>
      </c>
      <c r="N248" s="9" t="str">
        <f t="shared" si="5"/>
        <v/>
      </c>
      <c r="O248" s="9" t="str">
        <f t="shared" si="6"/>
        <v/>
      </c>
      <c r="P248" s="9" t="str">
        <f t="shared" si="7"/>
        <v/>
      </c>
      <c r="Q248" s="9" t="str">
        <f t="shared" si="8"/>
        <v/>
      </c>
      <c r="R248" s="9" t="str">
        <f t="shared" si="9"/>
        <v/>
      </c>
    </row>
    <row r="249">
      <c r="A249" s="1" t="str">
        <f t="shared" si="1"/>
        <v/>
      </c>
      <c r="G249" s="9" t="str">
        <f>IFERROR(__xludf.DUMMYFUNCTION("IF(B249="""","""",ROUND(XLOOKUP(B249, FLATTEN(B$1:E248), FLATTEN(O$1:R248), 500, 0, -1)))"),"")</f>
        <v/>
      </c>
      <c r="H249" s="9" t="str">
        <f>IFERROR(__xludf.DUMMYFUNCTION("IF(C249="""","""",ROUND(XLOOKUP(C249, FLATTEN(B$1:E248), FLATTEN(O$1:R248), 500, 0, -1)))"),"")</f>
        <v/>
      </c>
      <c r="I249" s="9" t="str">
        <f>IFERROR(__xludf.DUMMYFUNCTION("IF(D249="""","""",ROUND(XLOOKUP(D249, FLATTEN(B$1:E248), FLATTEN(O$1:R248), 500, 0, -1)))"),"")</f>
        <v/>
      </c>
      <c r="J249" s="9" t="str">
        <f>IFERROR(__xludf.DUMMYFUNCTION("IF(E249="""","""",ROUND(XLOOKUP(E249, FLATTEN(B$1:E248), FLATTEN(O$1:R248), 500, 0, -1)))"),"")</f>
        <v/>
      </c>
      <c r="K249" s="9" t="str">
        <f t="shared" si="2"/>
        <v/>
      </c>
      <c r="L249" s="9" t="str">
        <f t="shared" si="3"/>
        <v/>
      </c>
      <c r="M249" s="32" t="str">
        <f t="shared" si="4"/>
        <v/>
      </c>
      <c r="N249" s="9" t="str">
        <f t="shared" si="5"/>
        <v/>
      </c>
      <c r="O249" s="9" t="str">
        <f t="shared" si="6"/>
        <v/>
      </c>
      <c r="P249" s="9" t="str">
        <f t="shared" si="7"/>
        <v/>
      </c>
      <c r="Q249" s="9" t="str">
        <f t="shared" si="8"/>
        <v/>
      </c>
      <c r="R249" s="9" t="str">
        <f t="shared" si="9"/>
        <v/>
      </c>
    </row>
    <row r="250">
      <c r="A250" s="1" t="str">
        <f t="shared" si="1"/>
        <v/>
      </c>
      <c r="G250" s="9" t="str">
        <f>IFERROR(__xludf.DUMMYFUNCTION("IF(B250="""","""",ROUND(XLOOKUP(B250, FLATTEN(B$1:E249), FLATTEN(O$1:R249), 500, 0, -1)))"),"")</f>
        <v/>
      </c>
      <c r="H250" s="9" t="str">
        <f>IFERROR(__xludf.DUMMYFUNCTION("IF(C250="""","""",ROUND(XLOOKUP(C250, FLATTEN(B$1:E249), FLATTEN(O$1:R249), 500, 0, -1)))"),"")</f>
        <v/>
      </c>
      <c r="I250" s="9" t="str">
        <f>IFERROR(__xludf.DUMMYFUNCTION("IF(D250="""","""",ROUND(XLOOKUP(D250, FLATTEN(B$1:E249), FLATTEN(O$1:R249), 500, 0, -1)))"),"")</f>
        <v/>
      </c>
      <c r="J250" s="9" t="str">
        <f>IFERROR(__xludf.DUMMYFUNCTION("IF(E250="""","""",ROUND(XLOOKUP(E250, FLATTEN(B$1:E249), FLATTEN(O$1:R249), 500, 0, -1)))"),"")</f>
        <v/>
      </c>
      <c r="K250" s="9" t="str">
        <f t="shared" si="2"/>
        <v/>
      </c>
      <c r="L250" s="9" t="str">
        <f t="shared" si="3"/>
        <v/>
      </c>
      <c r="M250" s="32" t="str">
        <f t="shared" si="4"/>
        <v/>
      </c>
      <c r="N250" s="9" t="str">
        <f t="shared" si="5"/>
        <v/>
      </c>
      <c r="O250" s="9" t="str">
        <f t="shared" si="6"/>
        <v/>
      </c>
      <c r="P250" s="9" t="str">
        <f t="shared" si="7"/>
        <v/>
      </c>
      <c r="Q250" s="9" t="str">
        <f t="shared" si="8"/>
        <v/>
      </c>
      <c r="R250" s="9" t="str">
        <f t="shared" si="9"/>
        <v/>
      </c>
    </row>
    <row r="251">
      <c r="A251" s="1" t="str">
        <f t="shared" si="1"/>
        <v/>
      </c>
      <c r="G251" s="9" t="str">
        <f>IFERROR(__xludf.DUMMYFUNCTION("IF(B251="""","""",ROUND(XLOOKUP(B251, FLATTEN(B$1:E250), FLATTEN(O$1:R250), 500, 0, -1)))"),"")</f>
        <v/>
      </c>
      <c r="H251" s="9" t="str">
        <f>IFERROR(__xludf.DUMMYFUNCTION("IF(C251="""","""",ROUND(XLOOKUP(C251, FLATTEN(B$1:E250), FLATTEN(O$1:R250), 500, 0, -1)))"),"")</f>
        <v/>
      </c>
      <c r="I251" s="9" t="str">
        <f>IFERROR(__xludf.DUMMYFUNCTION("IF(D251="""","""",ROUND(XLOOKUP(D251, FLATTEN(B$1:E250), FLATTEN(O$1:R250), 500, 0, -1)))"),"")</f>
        <v/>
      </c>
      <c r="J251" s="9" t="str">
        <f>IFERROR(__xludf.DUMMYFUNCTION("IF(E251="""","""",ROUND(XLOOKUP(E251, FLATTEN(B$1:E250), FLATTEN(O$1:R250), 500, 0, -1)))"),"")</f>
        <v/>
      </c>
      <c r="K251" s="9" t="str">
        <f t="shared" si="2"/>
        <v/>
      </c>
      <c r="L251" s="9" t="str">
        <f t="shared" si="3"/>
        <v/>
      </c>
      <c r="M251" s="32" t="str">
        <f t="shared" si="4"/>
        <v/>
      </c>
      <c r="N251" s="9" t="str">
        <f t="shared" si="5"/>
        <v/>
      </c>
      <c r="O251" s="9" t="str">
        <f t="shared" si="6"/>
        <v/>
      </c>
      <c r="P251" s="9" t="str">
        <f t="shared" si="7"/>
        <v/>
      </c>
      <c r="Q251" s="9" t="str">
        <f t="shared" si="8"/>
        <v/>
      </c>
      <c r="R251" s="9" t="str">
        <f t="shared" si="9"/>
        <v/>
      </c>
    </row>
    <row r="252">
      <c r="A252" s="1" t="str">
        <f t="shared" si="1"/>
        <v/>
      </c>
      <c r="G252" s="9" t="str">
        <f>IFERROR(__xludf.DUMMYFUNCTION("IF(B252="""","""",ROUND(XLOOKUP(B252, FLATTEN(B$1:E251), FLATTEN(O$1:R251), 500, 0, -1)))"),"")</f>
        <v/>
      </c>
      <c r="H252" s="9" t="str">
        <f>IFERROR(__xludf.DUMMYFUNCTION("IF(C252="""","""",ROUND(XLOOKUP(C252, FLATTEN(B$1:E251), FLATTEN(O$1:R251), 500, 0, -1)))"),"")</f>
        <v/>
      </c>
      <c r="I252" s="9" t="str">
        <f>IFERROR(__xludf.DUMMYFUNCTION("IF(D252="""","""",ROUND(XLOOKUP(D252, FLATTEN(B$1:E251), FLATTEN(O$1:R251), 500, 0, -1)))"),"")</f>
        <v/>
      </c>
      <c r="J252" s="9" t="str">
        <f>IFERROR(__xludf.DUMMYFUNCTION("IF(E252="""","""",ROUND(XLOOKUP(E252, FLATTEN(B$1:E251), FLATTEN(O$1:R251), 500, 0, -1)))"),"")</f>
        <v/>
      </c>
      <c r="K252" s="9" t="str">
        <f t="shared" si="2"/>
        <v/>
      </c>
      <c r="L252" s="9" t="str">
        <f t="shared" si="3"/>
        <v/>
      </c>
      <c r="M252" s="32" t="str">
        <f t="shared" si="4"/>
        <v/>
      </c>
      <c r="N252" s="9" t="str">
        <f t="shared" si="5"/>
        <v/>
      </c>
      <c r="O252" s="9" t="str">
        <f t="shared" si="6"/>
        <v/>
      </c>
      <c r="P252" s="9" t="str">
        <f t="shared" si="7"/>
        <v/>
      </c>
      <c r="Q252" s="9" t="str">
        <f t="shared" si="8"/>
        <v/>
      </c>
      <c r="R252" s="9" t="str">
        <f t="shared" si="9"/>
        <v/>
      </c>
    </row>
    <row r="253">
      <c r="A253" s="1" t="str">
        <f t="shared" si="1"/>
        <v/>
      </c>
      <c r="G253" s="9" t="str">
        <f>IFERROR(__xludf.DUMMYFUNCTION("IF(B253="""","""",ROUND(XLOOKUP(B253, FLATTEN(B$1:E252), FLATTEN(O$1:R252), 500, 0, -1)))"),"")</f>
        <v/>
      </c>
      <c r="H253" s="9" t="str">
        <f>IFERROR(__xludf.DUMMYFUNCTION("IF(C253="""","""",ROUND(XLOOKUP(C253, FLATTEN(B$1:E252), FLATTEN(O$1:R252), 500, 0, -1)))"),"")</f>
        <v/>
      </c>
      <c r="I253" s="9" t="str">
        <f>IFERROR(__xludf.DUMMYFUNCTION("IF(D253="""","""",ROUND(XLOOKUP(D253, FLATTEN(B$1:E252), FLATTEN(O$1:R252), 500, 0, -1)))"),"")</f>
        <v/>
      </c>
      <c r="J253" s="9" t="str">
        <f>IFERROR(__xludf.DUMMYFUNCTION("IF(E253="""","""",ROUND(XLOOKUP(E253, FLATTEN(B$1:E252), FLATTEN(O$1:R252), 500, 0, -1)))"),"")</f>
        <v/>
      </c>
      <c r="K253" s="9" t="str">
        <f t="shared" si="2"/>
        <v/>
      </c>
      <c r="L253" s="9" t="str">
        <f t="shared" si="3"/>
        <v/>
      </c>
      <c r="M253" s="32" t="str">
        <f t="shared" si="4"/>
        <v/>
      </c>
      <c r="N253" s="9" t="str">
        <f t="shared" si="5"/>
        <v/>
      </c>
      <c r="O253" s="9" t="str">
        <f t="shared" si="6"/>
        <v/>
      </c>
      <c r="P253" s="9" t="str">
        <f t="shared" si="7"/>
        <v/>
      </c>
      <c r="Q253" s="9" t="str">
        <f t="shared" si="8"/>
        <v/>
      </c>
      <c r="R253" s="9" t="str">
        <f t="shared" si="9"/>
        <v/>
      </c>
    </row>
    <row r="254">
      <c r="A254" s="1" t="str">
        <f t="shared" si="1"/>
        <v/>
      </c>
      <c r="G254" s="9" t="str">
        <f>IFERROR(__xludf.DUMMYFUNCTION("IF(B254="""","""",ROUND(XLOOKUP(B254, FLATTEN(B$1:E253), FLATTEN(O$1:R253), 500, 0, -1)))"),"")</f>
        <v/>
      </c>
      <c r="H254" s="9" t="str">
        <f>IFERROR(__xludf.DUMMYFUNCTION("IF(C254="""","""",ROUND(XLOOKUP(C254, FLATTEN(B$1:E253), FLATTEN(O$1:R253), 500, 0, -1)))"),"")</f>
        <v/>
      </c>
      <c r="I254" s="9" t="str">
        <f>IFERROR(__xludf.DUMMYFUNCTION("IF(D254="""","""",ROUND(XLOOKUP(D254, FLATTEN(B$1:E253), FLATTEN(O$1:R253), 500, 0, -1)))"),"")</f>
        <v/>
      </c>
      <c r="J254" s="9" t="str">
        <f>IFERROR(__xludf.DUMMYFUNCTION("IF(E254="""","""",ROUND(XLOOKUP(E254, FLATTEN(B$1:E253), FLATTEN(O$1:R253), 500, 0, -1)))"),"")</f>
        <v/>
      </c>
      <c r="K254" s="9" t="str">
        <f t="shared" si="2"/>
        <v/>
      </c>
      <c r="L254" s="9" t="str">
        <f t="shared" si="3"/>
        <v/>
      </c>
      <c r="M254" s="32" t="str">
        <f t="shared" si="4"/>
        <v/>
      </c>
      <c r="N254" s="9" t="str">
        <f t="shared" si="5"/>
        <v/>
      </c>
      <c r="O254" s="9" t="str">
        <f t="shared" si="6"/>
        <v/>
      </c>
      <c r="P254" s="9" t="str">
        <f t="shared" si="7"/>
        <v/>
      </c>
      <c r="Q254" s="9" t="str">
        <f t="shared" si="8"/>
        <v/>
      </c>
      <c r="R254" s="9" t="str">
        <f t="shared" si="9"/>
        <v/>
      </c>
    </row>
    <row r="255">
      <c r="A255" s="1" t="str">
        <f t="shared" si="1"/>
        <v/>
      </c>
      <c r="G255" s="9" t="str">
        <f>IFERROR(__xludf.DUMMYFUNCTION("IF(B255="""","""",ROUND(XLOOKUP(B255, FLATTEN(B$1:E254), FLATTEN(O$1:R254), 500, 0, -1)))"),"")</f>
        <v/>
      </c>
      <c r="H255" s="9" t="str">
        <f>IFERROR(__xludf.DUMMYFUNCTION("IF(C255="""","""",ROUND(XLOOKUP(C255, FLATTEN(B$1:E254), FLATTEN(O$1:R254), 500, 0, -1)))"),"")</f>
        <v/>
      </c>
      <c r="I255" s="9" t="str">
        <f>IFERROR(__xludf.DUMMYFUNCTION("IF(D255="""","""",ROUND(XLOOKUP(D255, FLATTEN(B$1:E254), FLATTEN(O$1:R254), 500, 0, -1)))"),"")</f>
        <v/>
      </c>
      <c r="J255" s="9" t="str">
        <f>IFERROR(__xludf.DUMMYFUNCTION("IF(E255="""","""",ROUND(XLOOKUP(E255, FLATTEN(B$1:E254), FLATTEN(O$1:R254), 500, 0, -1)))"),"")</f>
        <v/>
      </c>
      <c r="K255" s="9" t="str">
        <f t="shared" si="2"/>
        <v/>
      </c>
      <c r="L255" s="9" t="str">
        <f t="shared" si="3"/>
        <v/>
      </c>
      <c r="M255" s="32" t="str">
        <f t="shared" si="4"/>
        <v/>
      </c>
      <c r="N255" s="9" t="str">
        <f t="shared" si="5"/>
        <v/>
      </c>
      <c r="O255" s="9" t="str">
        <f t="shared" si="6"/>
        <v/>
      </c>
      <c r="P255" s="9" t="str">
        <f t="shared" si="7"/>
        <v/>
      </c>
      <c r="Q255" s="9" t="str">
        <f t="shared" si="8"/>
        <v/>
      </c>
      <c r="R255" s="9" t="str">
        <f t="shared" si="9"/>
        <v/>
      </c>
    </row>
    <row r="256">
      <c r="A256" s="1" t="str">
        <f t="shared" si="1"/>
        <v/>
      </c>
      <c r="G256" s="9" t="str">
        <f>IFERROR(__xludf.DUMMYFUNCTION("IF(B256="""","""",ROUND(XLOOKUP(B256, FLATTEN(B$1:E255), FLATTEN(O$1:R255), 500, 0, -1)))"),"")</f>
        <v/>
      </c>
      <c r="H256" s="9" t="str">
        <f>IFERROR(__xludf.DUMMYFUNCTION("IF(C256="""","""",ROUND(XLOOKUP(C256, FLATTEN(B$1:E255), FLATTEN(O$1:R255), 500, 0, -1)))"),"")</f>
        <v/>
      </c>
      <c r="I256" s="9" t="str">
        <f>IFERROR(__xludf.DUMMYFUNCTION("IF(D256="""","""",ROUND(XLOOKUP(D256, FLATTEN(B$1:E255), FLATTEN(O$1:R255), 500, 0, -1)))"),"")</f>
        <v/>
      </c>
      <c r="J256" s="9" t="str">
        <f>IFERROR(__xludf.DUMMYFUNCTION("IF(E256="""","""",ROUND(XLOOKUP(E256, FLATTEN(B$1:E255), FLATTEN(O$1:R255), 500, 0, -1)))"),"")</f>
        <v/>
      </c>
      <c r="K256" s="9" t="str">
        <f t="shared" si="2"/>
        <v/>
      </c>
      <c r="L256" s="9" t="str">
        <f t="shared" si="3"/>
        <v/>
      </c>
      <c r="M256" s="32" t="str">
        <f t="shared" si="4"/>
        <v/>
      </c>
      <c r="N256" s="9" t="str">
        <f t="shared" si="5"/>
        <v/>
      </c>
      <c r="O256" s="9" t="str">
        <f t="shared" si="6"/>
        <v/>
      </c>
      <c r="P256" s="9" t="str">
        <f t="shared" si="7"/>
        <v/>
      </c>
      <c r="Q256" s="9" t="str">
        <f t="shared" si="8"/>
        <v/>
      </c>
      <c r="R256" s="9" t="str">
        <f t="shared" si="9"/>
        <v/>
      </c>
    </row>
    <row r="257">
      <c r="A257" s="1" t="str">
        <f t="shared" si="1"/>
        <v/>
      </c>
      <c r="G257" s="9" t="str">
        <f>IFERROR(__xludf.DUMMYFUNCTION("IF(B257="""","""",ROUND(XLOOKUP(B257, FLATTEN(B$1:E256), FLATTEN(O$1:R256), 500, 0, -1)))"),"")</f>
        <v/>
      </c>
      <c r="H257" s="9" t="str">
        <f>IFERROR(__xludf.DUMMYFUNCTION("IF(C257="""","""",ROUND(XLOOKUP(C257, FLATTEN(B$1:E256), FLATTEN(O$1:R256), 500, 0, -1)))"),"")</f>
        <v/>
      </c>
      <c r="I257" s="9" t="str">
        <f>IFERROR(__xludf.DUMMYFUNCTION("IF(D257="""","""",ROUND(XLOOKUP(D257, FLATTEN(B$1:E256), FLATTEN(O$1:R256), 500, 0, -1)))"),"")</f>
        <v/>
      </c>
      <c r="J257" s="9" t="str">
        <f>IFERROR(__xludf.DUMMYFUNCTION("IF(E257="""","""",ROUND(XLOOKUP(E257, FLATTEN(B$1:E256), FLATTEN(O$1:R256), 500, 0, -1)))"),"")</f>
        <v/>
      </c>
      <c r="K257" s="9" t="str">
        <f t="shared" si="2"/>
        <v/>
      </c>
      <c r="L257" s="9" t="str">
        <f t="shared" si="3"/>
        <v/>
      </c>
      <c r="M257" s="32" t="str">
        <f t="shared" si="4"/>
        <v/>
      </c>
      <c r="N257" s="9" t="str">
        <f t="shared" si="5"/>
        <v/>
      </c>
      <c r="O257" s="9" t="str">
        <f t="shared" si="6"/>
        <v/>
      </c>
      <c r="P257" s="9" t="str">
        <f t="shared" si="7"/>
        <v/>
      </c>
      <c r="Q257" s="9" t="str">
        <f t="shared" si="8"/>
        <v/>
      </c>
      <c r="R257" s="9" t="str">
        <f t="shared" si="9"/>
        <v/>
      </c>
    </row>
    <row r="258">
      <c r="A258" s="1" t="str">
        <f t="shared" si="1"/>
        <v/>
      </c>
      <c r="G258" s="9" t="str">
        <f>IFERROR(__xludf.DUMMYFUNCTION("IF(B258="""","""",ROUND(XLOOKUP(B258, FLATTEN(B$1:E257), FLATTEN(O$1:R257), 500, 0, -1)))"),"")</f>
        <v/>
      </c>
      <c r="H258" s="9" t="str">
        <f>IFERROR(__xludf.DUMMYFUNCTION("IF(C258="""","""",ROUND(XLOOKUP(C258, FLATTEN(B$1:E257), FLATTEN(O$1:R257), 500, 0, -1)))"),"")</f>
        <v/>
      </c>
      <c r="I258" s="9" t="str">
        <f>IFERROR(__xludf.DUMMYFUNCTION("IF(D258="""","""",ROUND(XLOOKUP(D258, FLATTEN(B$1:E257), FLATTEN(O$1:R257), 500, 0, -1)))"),"")</f>
        <v/>
      </c>
      <c r="J258" s="9" t="str">
        <f>IFERROR(__xludf.DUMMYFUNCTION("IF(E258="""","""",ROUND(XLOOKUP(E258, FLATTEN(B$1:E257), FLATTEN(O$1:R257), 500, 0, -1)))"),"")</f>
        <v/>
      </c>
      <c r="K258" s="9" t="str">
        <f t="shared" si="2"/>
        <v/>
      </c>
      <c r="L258" s="9" t="str">
        <f t="shared" si="3"/>
        <v/>
      </c>
      <c r="M258" s="32" t="str">
        <f t="shared" si="4"/>
        <v/>
      </c>
      <c r="N258" s="9" t="str">
        <f t="shared" si="5"/>
        <v/>
      </c>
      <c r="O258" s="9" t="str">
        <f t="shared" si="6"/>
        <v/>
      </c>
      <c r="P258" s="9" t="str">
        <f t="shared" si="7"/>
        <v/>
      </c>
      <c r="Q258" s="9" t="str">
        <f t="shared" si="8"/>
        <v/>
      </c>
      <c r="R258" s="9" t="str">
        <f t="shared" si="9"/>
        <v/>
      </c>
    </row>
    <row r="259">
      <c r="A259" s="1" t="str">
        <f t="shared" si="1"/>
        <v/>
      </c>
      <c r="G259" s="9" t="str">
        <f>IFERROR(__xludf.DUMMYFUNCTION("IF(B259="""","""",ROUND(XLOOKUP(B259, FLATTEN(B$1:E258), FLATTEN(O$1:R258), 500, 0, -1)))"),"")</f>
        <v/>
      </c>
      <c r="H259" s="9" t="str">
        <f>IFERROR(__xludf.DUMMYFUNCTION("IF(C259="""","""",ROUND(XLOOKUP(C259, FLATTEN(B$1:E258), FLATTEN(O$1:R258), 500, 0, -1)))"),"")</f>
        <v/>
      </c>
      <c r="I259" s="9" t="str">
        <f>IFERROR(__xludf.DUMMYFUNCTION("IF(D259="""","""",ROUND(XLOOKUP(D259, FLATTEN(B$1:E258), FLATTEN(O$1:R258), 500, 0, -1)))"),"")</f>
        <v/>
      </c>
      <c r="J259" s="9" t="str">
        <f>IFERROR(__xludf.DUMMYFUNCTION("IF(E259="""","""",ROUND(XLOOKUP(E259, FLATTEN(B$1:E258), FLATTEN(O$1:R258), 500, 0, -1)))"),"")</f>
        <v/>
      </c>
      <c r="K259" s="9" t="str">
        <f t="shared" si="2"/>
        <v/>
      </c>
      <c r="L259" s="9" t="str">
        <f t="shared" si="3"/>
        <v/>
      </c>
      <c r="M259" s="32" t="str">
        <f t="shared" si="4"/>
        <v/>
      </c>
      <c r="N259" s="9" t="str">
        <f t="shared" si="5"/>
        <v/>
      </c>
      <c r="O259" s="9" t="str">
        <f t="shared" si="6"/>
        <v/>
      </c>
      <c r="P259" s="9" t="str">
        <f t="shared" si="7"/>
        <v/>
      </c>
      <c r="Q259" s="9" t="str">
        <f t="shared" si="8"/>
        <v/>
      </c>
      <c r="R259" s="9" t="str">
        <f t="shared" si="9"/>
        <v/>
      </c>
    </row>
    <row r="260">
      <c r="A260" s="1" t="str">
        <f t="shared" si="1"/>
        <v/>
      </c>
      <c r="G260" s="9" t="str">
        <f>IFERROR(__xludf.DUMMYFUNCTION("IF(B260="""","""",ROUND(XLOOKUP(B260, FLATTEN(B$1:E259), FLATTEN(O$1:R259), 500, 0, -1)))"),"")</f>
        <v/>
      </c>
      <c r="H260" s="9" t="str">
        <f>IFERROR(__xludf.DUMMYFUNCTION("IF(C260="""","""",ROUND(XLOOKUP(C260, FLATTEN(B$1:E259), FLATTEN(O$1:R259), 500, 0, -1)))"),"")</f>
        <v/>
      </c>
      <c r="I260" s="9" t="str">
        <f>IFERROR(__xludf.DUMMYFUNCTION("IF(D260="""","""",ROUND(XLOOKUP(D260, FLATTEN(B$1:E259), FLATTEN(O$1:R259), 500, 0, -1)))"),"")</f>
        <v/>
      </c>
      <c r="J260" s="9" t="str">
        <f>IFERROR(__xludf.DUMMYFUNCTION("IF(E260="""","""",ROUND(XLOOKUP(E260, FLATTEN(B$1:E259), FLATTEN(O$1:R259), 500, 0, -1)))"),"")</f>
        <v/>
      </c>
      <c r="K260" s="9" t="str">
        <f t="shared" si="2"/>
        <v/>
      </c>
      <c r="L260" s="9" t="str">
        <f t="shared" si="3"/>
        <v/>
      </c>
      <c r="M260" s="32" t="str">
        <f t="shared" si="4"/>
        <v/>
      </c>
      <c r="N260" s="9" t="str">
        <f t="shared" si="5"/>
        <v/>
      </c>
      <c r="O260" s="9" t="str">
        <f t="shared" si="6"/>
        <v/>
      </c>
      <c r="P260" s="9" t="str">
        <f t="shared" si="7"/>
        <v/>
      </c>
      <c r="Q260" s="9" t="str">
        <f t="shared" si="8"/>
        <v/>
      </c>
      <c r="R260" s="9" t="str">
        <f t="shared" si="9"/>
        <v/>
      </c>
    </row>
    <row r="261">
      <c r="A261" s="1" t="str">
        <f t="shared" si="1"/>
        <v/>
      </c>
      <c r="G261" s="9" t="str">
        <f>IFERROR(__xludf.DUMMYFUNCTION("IF(B261="""","""",ROUND(XLOOKUP(B261, FLATTEN(B$1:E260), FLATTEN(O$1:R260), 500, 0, -1)))"),"")</f>
        <v/>
      </c>
      <c r="H261" s="9" t="str">
        <f>IFERROR(__xludf.DUMMYFUNCTION("IF(C261="""","""",ROUND(XLOOKUP(C261, FLATTEN(B$1:E260), FLATTEN(O$1:R260), 500, 0, -1)))"),"")</f>
        <v/>
      </c>
      <c r="I261" s="9" t="str">
        <f>IFERROR(__xludf.DUMMYFUNCTION("IF(D261="""","""",ROUND(XLOOKUP(D261, FLATTEN(B$1:E260), FLATTEN(O$1:R260), 500, 0, -1)))"),"")</f>
        <v/>
      </c>
      <c r="J261" s="9" t="str">
        <f>IFERROR(__xludf.DUMMYFUNCTION("IF(E261="""","""",ROUND(XLOOKUP(E261, FLATTEN(B$1:E260), FLATTEN(O$1:R260), 500, 0, -1)))"),"")</f>
        <v/>
      </c>
      <c r="K261" s="9" t="str">
        <f t="shared" si="2"/>
        <v/>
      </c>
      <c r="L261" s="9" t="str">
        <f t="shared" si="3"/>
        <v/>
      </c>
      <c r="M261" s="32" t="str">
        <f t="shared" si="4"/>
        <v/>
      </c>
      <c r="N261" s="9" t="str">
        <f t="shared" si="5"/>
        <v/>
      </c>
      <c r="O261" s="9" t="str">
        <f t="shared" si="6"/>
        <v/>
      </c>
      <c r="P261" s="9" t="str">
        <f t="shared" si="7"/>
        <v/>
      </c>
      <c r="Q261" s="9" t="str">
        <f t="shared" si="8"/>
        <v/>
      </c>
      <c r="R261" s="9" t="str">
        <f t="shared" si="9"/>
        <v/>
      </c>
    </row>
    <row r="262">
      <c r="A262" s="1" t="str">
        <f t="shared" si="1"/>
        <v/>
      </c>
      <c r="G262" s="9" t="str">
        <f>IFERROR(__xludf.DUMMYFUNCTION("IF(B262="""","""",ROUND(XLOOKUP(B262, FLATTEN(B$1:E261), FLATTEN(O$1:R261), 500, 0, -1)))"),"")</f>
        <v/>
      </c>
      <c r="H262" s="9" t="str">
        <f>IFERROR(__xludf.DUMMYFUNCTION("IF(C262="""","""",ROUND(XLOOKUP(C262, FLATTEN(B$1:E261), FLATTEN(O$1:R261), 500, 0, -1)))"),"")</f>
        <v/>
      </c>
      <c r="I262" s="9" t="str">
        <f>IFERROR(__xludf.DUMMYFUNCTION("IF(D262="""","""",ROUND(XLOOKUP(D262, FLATTEN(B$1:E261), FLATTEN(O$1:R261), 500, 0, -1)))"),"")</f>
        <v/>
      </c>
      <c r="J262" s="9" t="str">
        <f>IFERROR(__xludf.DUMMYFUNCTION("IF(E262="""","""",ROUND(XLOOKUP(E262, FLATTEN(B$1:E261), FLATTEN(O$1:R261), 500, 0, -1)))"),"")</f>
        <v/>
      </c>
      <c r="K262" s="9" t="str">
        <f t="shared" si="2"/>
        <v/>
      </c>
      <c r="L262" s="9" t="str">
        <f t="shared" si="3"/>
        <v/>
      </c>
      <c r="M262" s="32" t="str">
        <f t="shared" si="4"/>
        <v/>
      </c>
      <c r="N262" s="9" t="str">
        <f t="shared" si="5"/>
        <v/>
      </c>
      <c r="O262" s="9" t="str">
        <f t="shared" si="6"/>
        <v/>
      </c>
      <c r="P262" s="9" t="str">
        <f t="shared" si="7"/>
        <v/>
      </c>
      <c r="Q262" s="9" t="str">
        <f t="shared" si="8"/>
        <v/>
      </c>
      <c r="R262" s="9" t="str">
        <f t="shared" si="9"/>
        <v/>
      </c>
    </row>
    <row r="263">
      <c r="A263" s="1" t="str">
        <f t="shared" si="1"/>
        <v/>
      </c>
      <c r="G263" s="9" t="str">
        <f>IFERROR(__xludf.DUMMYFUNCTION("IF(B263="""","""",ROUND(XLOOKUP(B263, FLATTEN(B$1:E262), FLATTEN(O$1:R262), 500, 0, -1)))"),"")</f>
        <v/>
      </c>
      <c r="H263" s="9" t="str">
        <f>IFERROR(__xludf.DUMMYFUNCTION("IF(C263="""","""",ROUND(XLOOKUP(C263, FLATTEN(B$1:E262), FLATTEN(O$1:R262), 500, 0, -1)))"),"")</f>
        <v/>
      </c>
      <c r="I263" s="9" t="str">
        <f>IFERROR(__xludf.DUMMYFUNCTION("IF(D263="""","""",ROUND(XLOOKUP(D263, FLATTEN(B$1:E262), FLATTEN(O$1:R262), 500, 0, -1)))"),"")</f>
        <v/>
      </c>
      <c r="J263" s="9" t="str">
        <f>IFERROR(__xludf.DUMMYFUNCTION("IF(E263="""","""",ROUND(XLOOKUP(E263, FLATTEN(B$1:E262), FLATTEN(O$1:R262), 500, 0, -1)))"),"")</f>
        <v/>
      </c>
      <c r="K263" s="9" t="str">
        <f t="shared" si="2"/>
        <v/>
      </c>
      <c r="L263" s="9" t="str">
        <f t="shared" si="3"/>
        <v/>
      </c>
      <c r="M263" s="32" t="str">
        <f t="shared" si="4"/>
        <v/>
      </c>
      <c r="N263" s="9" t="str">
        <f t="shared" si="5"/>
        <v/>
      </c>
      <c r="O263" s="9" t="str">
        <f t="shared" si="6"/>
        <v/>
      </c>
      <c r="P263" s="9" t="str">
        <f t="shared" si="7"/>
        <v/>
      </c>
      <c r="Q263" s="9" t="str">
        <f t="shared" si="8"/>
        <v/>
      </c>
      <c r="R263" s="9" t="str">
        <f t="shared" si="9"/>
        <v/>
      </c>
    </row>
    <row r="264">
      <c r="A264" s="1" t="str">
        <f t="shared" si="1"/>
        <v/>
      </c>
      <c r="G264" s="9" t="str">
        <f>IFERROR(__xludf.DUMMYFUNCTION("IF(B264="""","""",ROUND(XLOOKUP(B264, FLATTEN(B$1:E263), FLATTEN(O$1:R263), 500, 0, -1)))"),"")</f>
        <v/>
      </c>
      <c r="H264" s="9" t="str">
        <f>IFERROR(__xludf.DUMMYFUNCTION("IF(C264="""","""",ROUND(XLOOKUP(C264, FLATTEN(B$1:E263), FLATTEN(O$1:R263), 500, 0, -1)))"),"")</f>
        <v/>
      </c>
      <c r="I264" s="9" t="str">
        <f>IFERROR(__xludf.DUMMYFUNCTION("IF(D264="""","""",ROUND(XLOOKUP(D264, FLATTEN(B$1:E263), FLATTEN(O$1:R263), 500, 0, -1)))"),"")</f>
        <v/>
      </c>
      <c r="J264" s="9" t="str">
        <f>IFERROR(__xludf.DUMMYFUNCTION("IF(E264="""","""",ROUND(XLOOKUP(E264, FLATTEN(B$1:E263), FLATTEN(O$1:R263), 500, 0, -1)))"),"")</f>
        <v/>
      </c>
      <c r="K264" s="9" t="str">
        <f t="shared" si="2"/>
        <v/>
      </c>
      <c r="L264" s="9" t="str">
        <f t="shared" si="3"/>
        <v/>
      </c>
      <c r="M264" s="32" t="str">
        <f t="shared" si="4"/>
        <v/>
      </c>
      <c r="N264" s="9" t="str">
        <f t="shared" si="5"/>
        <v/>
      </c>
      <c r="O264" s="9" t="str">
        <f t="shared" si="6"/>
        <v/>
      </c>
      <c r="P264" s="9" t="str">
        <f t="shared" si="7"/>
        <v/>
      </c>
      <c r="Q264" s="9" t="str">
        <f t="shared" si="8"/>
        <v/>
      </c>
      <c r="R264" s="9" t="str">
        <f t="shared" si="9"/>
        <v/>
      </c>
    </row>
    <row r="265">
      <c r="A265" s="1" t="str">
        <f t="shared" si="1"/>
        <v/>
      </c>
      <c r="G265" s="9" t="str">
        <f>IFERROR(__xludf.DUMMYFUNCTION("IF(B265="""","""",ROUND(XLOOKUP(B265, FLATTEN(B$1:E264), FLATTEN(O$1:R264), 500, 0, -1)))"),"")</f>
        <v/>
      </c>
      <c r="H265" s="9" t="str">
        <f>IFERROR(__xludf.DUMMYFUNCTION("IF(C265="""","""",ROUND(XLOOKUP(C265, FLATTEN(B$1:E264), FLATTEN(O$1:R264), 500, 0, -1)))"),"")</f>
        <v/>
      </c>
      <c r="I265" s="9" t="str">
        <f>IFERROR(__xludf.DUMMYFUNCTION("IF(D265="""","""",ROUND(XLOOKUP(D265, FLATTEN(B$1:E264), FLATTEN(O$1:R264), 500, 0, -1)))"),"")</f>
        <v/>
      </c>
      <c r="J265" s="9" t="str">
        <f>IFERROR(__xludf.DUMMYFUNCTION("IF(E265="""","""",ROUND(XLOOKUP(E265, FLATTEN(B$1:E264), FLATTEN(O$1:R264), 500, 0, -1)))"),"")</f>
        <v/>
      </c>
      <c r="K265" s="9" t="str">
        <f t="shared" si="2"/>
        <v/>
      </c>
      <c r="L265" s="9" t="str">
        <f t="shared" si="3"/>
        <v/>
      </c>
      <c r="M265" s="32" t="str">
        <f t="shared" si="4"/>
        <v/>
      </c>
      <c r="N265" s="9" t="str">
        <f t="shared" si="5"/>
        <v/>
      </c>
      <c r="O265" s="9" t="str">
        <f t="shared" si="6"/>
        <v/>
      </c>
      <c r="P265" s="9" t="str">
        <f t="shared" si="7"/>
        <v/>
      </c>
      <c r="Q265" s="9" t="str">
        <f t="shared" si="8"/>
        <v/>
      </c>
      <c r="R265" s="9" t="str">
        <f t="shared" si="9"/>
        <v/>
      </c>
    </row>
    <row r="266">
      <c r="A266" s="1" t="str">
        <f t="shared" si="1"/>
        <v/>
      </c>
      <c r="G266" s="9" t="str">
        <f>IFERROR(__xludf.DUMMYFUNCTION("IF(B266="""","""",ROUND(XLOOKUP(B266, FLATTEN(B$1:E265), FLATTEN(O$1:R265), 500, 0, -1)))"),"")</f>
        <v/>
      </c>
      <c r="H266" s="9" t="str">
        <f>IFERROR(__xludf.DUMMYFUNCTION("IF(C266="""","""",ROUND(XLOOKUP(C266, FLATTEN(B$1:E265), FLATTEN(O$1:R265), 500, 0, -1)))"),"")</f>
        <v/>
      </c>
      <c r="I266" s="9" t="str">
        <f>IFERROR(__xludf.DUMMYFUNCTION("IF(D266="""","""",ROUND(XLOOKUP(D266, FLATTEN(B$1:E265), FLATTEN(O$1:R265), 500, 0, -1)))"),"")</f>
        <v/>
      </c>
      <c r="J266" s="9" t="str">
        <f>IFERROR(__xludf.DUMMYFUNCTION("IF(E266="""","""",ROUND(XLOOKUP(E266, FLATTEN(B$1:E265), FLATTEN(O$1:R265), 500, 0, -1)))"),"")</f>
        <v/>
      </c>
      <c r="K266" s="9" t="str">
        <f t="shared" si="2"/>
        <v/>
      </c>
      <c r="L266" s="9" t="str">
        <f t="shared" si="3"/>
        <v/>
      </c>
      <c r="M266" s="32" t="str">
        <f t="shared" si="4"/>
        <v/>
      </c>
      <c r="N266" s="9" t="str">
        <f t="shared" si="5"/>
        <v/>
      </c>
      <c r="O266" s="9" t="str">
        <f t="shared" si="6"/>
        <v/>
      </c>
      <c r="P266" s="9" t="str">
        <f t="shared" si="7"/>
        <v/>
      </c>
      <c r="Q266" s="9" t="str">
        <f t="shared" si="8"/>
        <v/>
      </c>
      <c r="R266" s="9" t="str">
        <f t="shared" si="9"/>
        <v/>
      </c>
    </row>
    <row r="267">
      <c r="A267" s="1" t="str">
        <f t="shared" si="1"/>
        <v/>
      </c>
      <c r="G267" s="9" t="str">
        <f>IFERROR(__xludf.DUMMYFUNCTION("IF(B267="""","""",ROUND(XLOOKUP(B267, FLATTEN(B$1:E266), FLATTEN(O$1:R266), 500, 0, -1)))"),"")</f>
        <v/>
      </c>
      <c r="H267" s="9" t="str">
        <f>IFERROR(__xludf.DUMMYFUNCTION("IF(C267="""","""",ROUND(XLOOKUP(C267, FLATTEN(B$1:E266), FLATTEN(O$1:R266), 500, 0, -1)))"),"")</f>
        <v/>
      </c>
      <c r="I267" s="9" t="str">
        <f>IFERROR(__xludf.DUMMYFUNCTION("IF(D267="""","""",ROUND(XLOOKUP(D267, FLATTEN(B$1:E266), FLATTEN(O$1:R266), 500, 0, -1)))"),"")</f>
        <v/>
      </c>
      <c r="J267" s="9" t="str">
        <f>IFERROR(__xludf.DUMMYFUNCTION("IF(E267="""","""",ROUND(XLOOKUP(E267, FLATTEN(B$1:E266), FLATTEN(O$1:R266), 500, 0, -1)))"),"")</f>
        <v/>
      </c>
      <c r="K267" s="9" t="str">
        <f t="shared" si="2"/>
        <v/>
      </c>
      <c r="L267" s="9" t="str">
        <f t="shared" si="3"/>
        <v/>
      </c>
      <c r="M267" s="32" t="str">
        <f t="shared" si="4"/>
        <v/>
      </c>
      <c r="N267" s="9" t="str">
        <f t="shared" si="5"/>
        <v/>
      </c>
      <c r="O267" s="9" t="str">
        <f t="shared" si="6"/>
        <v/>
      </c>
      <c r="P267" s="9" t="str">
        <f t="shared" si="7"/>
        <v/>
      </c>
      <c r="Q267" s="9" t="str">
        <f t="shared" si="8"/>
        <v/>
      </c>
      <c r="R267" s="9" t="str">
        <f t="shared" si="9"/>
        <v/>
      </c>
    </row>
    <row r="268">
      <c r="A268" s="1" t="str">
        <f t="shared" si="1"/>
        <v/>
      </c>
      <c r="G268" s="9" t="str">
        <f>IFERROR(__xludf.DUMMYFUNCTION("IF(B268="""","""",ROUND(XLOOKUP(B268, FLATTEN(B$1:E267), FLATTEN(O$1:R267), 500, 0, -1)))"),"")</f>
        <v/>
      </c>
      <c r="H268" s="9" t="str">
        <f>IFERROR(__xludf.DUMMYFUNCTION("IF(C268="""","""",ROUND(XLOOKUP(C268, FLATTEN(B$1:E267), FLATTEN(O$1:R267), 500, 0, -1)))"),"")</f>
        <v/>
      </c>
      <c r="I268" s="9" t="str">
        <f>IFERROR(__xludf.DUMMYFUNCTION("IF(D268="""","""",ROUND(XLOOKUP(D268, FLATTEN(B$1:E267), FLATTEN(O$1:R267), 500, 0, -1)))"),"")</f>
        <v/>
      </c>
      <c r="J268" s="9" t="str">
        <f>IFERROR(__xludf.DUMMYFUNCTION("IF(E268="""","""",ROUND(XLOOKUP(E268, FLATTEN(B$1:E267), FLATTEN(O$1:R267), 500, 0, -1)))"),"")</f>
        <v/>
      </c>
      <c r="K268" s="9" t="str">
        <f t="shared" si="2"/>
        <v/>
      </c>
      <c r="L268" s="9" t="str">
        <f t="shared" si="3"/>
        <v/>
      </c>
      <c r="M268" s="32" t="str">
        <f t="shared" si="4"/>
        <v/>
      </c>
      <c r="N268" s="9" t="str">
        <f t="shared" si="5"/>
        <v/>
      </c>
      <c r="O268" s="9" t="str">
        <f t="shared" si="6"/>
        <v/>
      </c>
      <c r="P268" s="9" t="str">
        <f t="shared" si="7"/>
        <v/>
      </c>
      <c r="Q268" s="9" t="str">
        <f t="shared" si="8"/>
        <v/>
      </c>
      <c r="R268" s="9" t="str">
        <f t="shared" si="9"/>
        <v/>
      </c>
    </row>
    <row r="269">
      <c r="A269" s="1" t="str">
        <f t="shared" si="1"/>
        <v/>
      </c>
      <c r="G269" s="9" t="str">
        <f>IFERROR(__xludf.DUMMYFUNCTION("IF(B269="""","""",ROUND(XLOOKUP(B269, FLATTEN(B$1:E268), FLATTEN(O$1:R268), 500, 0, -1)))"),"")</f>
        <v/>
      </c>
      <c r="H269" s="9" t="str">
        <f>IFERROR(__xludf.DUMMYFUNCTION("IF(C269="""","""",ROUND(XLOOKUP(C269, FLATTEN(B$1:E268), FLATTEN(O$1:R268), 500, 0, -1)))"),"")</f>
        <v/>
      </c>
      <c r="I269" s="9" t="str">
        <f>IFERROR(__xludf.DUMMYFUNCTION("IF(D269="""","""",ROUND(XLOOKUP(D269, FLATTEN(B$1:E268), FLATTEN(O$1:R268), 500, 0, -1)))"),"")</f>
        <v/>
      </c>
      <c r="J269" s="9" t="str">
        <f>IFERROR(__xludf.DUMMYFUNCTION("IF(E269="""","""",ROUND(XLOOKUP(E269, FLATTEN(B$1:E268), FLATTEN(O$1:R268), 500, 0, -1)))"),"")</f>
        <v/>
      </c>
      <c r="K269" s="9" t="str">
        <f t="shared" si="2"/>
        <v/>
      </c>
      <c r="L269" s="9" t="str">
        <f t="shared" si="3"/>
        <v/>
      </c>
      <c r="M269" s="32" t="str">
        <f t="shared" si="4"/>
        <v/>
      </c>
      <c r="N269" s="9" t="str">
        <f t="shared" si="5"/>
        <v/>
      </c>
      <c r="O269" s="9" t="str">
        <f t="shared" si="6"/>
        <v/>
      </c>
      <c r="P269" s="9" t="str">
        <f t="shared" si="7"/>
        <v/>
      </c>
      <c r="Q269" s="9" t="str">
        <f t="shared" si="8"/>
        <v/>
      </c>
      <c r="R269" s="9" t="str">
        <f t="shared" si="9"/>
        <v/>
      </c>
    </row>
    <row r="270">
      <c r="A270" s="1" t="str">
        <f t="shared" si="1"/>
        <v/>
      </c>
      <c r="G270" s="9" t="str">
        <f>IFERROR(__xludf.DUMMYFUNCTION("IF(B270="""","""",ROUND(XLOOKUP(B270, FLATTEN(B$1:E269), FLATTEN(O$1:R269), 500, 0, -1)))"),"")</f>
        <v/>
      </c>
      <c r="H270" s="9" t="str">
        <f>IFERROR(__xludf.DUMMYFUNCTION("IF(C270="""","""",ROUND(XLOOKUP(C270, FLATTEN(B$1:E269), FLATTEN(O$1:R269), 500, 0, -1)))"),"")</f>
        <v/>
      </c>
      <c r="I270" s="9" t="str">
        <f>IFERROR(__xludf.DUMMYFUNCTION("IF(D270="""","""",ROUND(XLOOKUP(D270, FLATTEN(B$1:E269), FLATTEN(O$1:R269), 500, 0, -1)))"),"")</f>
        <v/>
      </c>
      <c r="J270" s="9" t="str">
        <f>IFERROR(__xludf.DUMMYFUNCTION("IF(E270="""","""",ROUND(XLOOKUP(E270, FLATTEN(B$1:E269), FLATTEN(O$1:R269), 500, 0, -1)))"),"")</f>
        <v/>
      </c>
      <c r="K270" s="9" t="str">
        <f t="shared" si="2"/>
        <v/>
      </c>
      <c r="L270" s="9" t="str">
        <f t="shared" si="3"/>
        <v/>
      </c>
      <c r="M270" s="32" t="str">
        <f t="shared" si="4"/>
        <v/>
      </c>
      <c r="N270" s="9" t="str">
        <f t="shared" si="5"/>
        <v/>
      </c>
      <c r="O270" s="9" t="str">
        <f t="shared" si="6"/>
        <v/>
      </c>
      <c r="P270" s="9" t="str">
        <f t="shared" si="7"/>
        <v/>
      </c>
      <c r="Q270" s="9" t="str">
        <f t="shared" si="8"/>
        <v/>
      </c>
      <c r="R270" s="9" t="str">
        <f t="shared" si="9"/>
        <v/>
      </c>
    </row>
    <row r="271">
      <c r="A271" s="1" t="str">
        <f t="shared" si="1"/>
        <v/>
      </c>
      <c r="G271" s="9" t="str">
        <f>IFERROR(__xludf.DUMMYFUNCTION("IF(B271="""","""",ROUND(XLOOKUP(B271, FLATTEN(B$1:E270), FLATTEN(O$1:R270), 500, 0, -1)))"),"")</f>
        <v/>
      </c>
      <c r="H271" s="9" t="str">
        <f>IFERROR(__xludf.DUMMYFUNCTION("IF(C271="""","""",ROUND(XLOOKUP(C271, FLATTEN(B$1:E270), FLATTEN(O$1:R270), 500, 0, -1)))"),"")</f>
        <v/>
      </c>
      <c r="I271" s="9" t="str">
        <f>IFERROR(__xludf.DUMMYFUNCTION("IF(D271="""","""",ROUND(XLOOKUP(D271, FLATTEN(B$1:E270), FLATTEN(O$1:R270), 500, 0, -1)))"),"")</f>
        <v/>
      </c>
      <c r="J271" s="9" t="str">
        <f>IFERROR(__xludf.DUMMYFUNCTION("IF(E271="""","""",ROUND(XLOOKUP(E271, FLATTEN(B$1:E270), FLATTEN(O$1:R270), 500, 0, -1)))"),"")</f>
        <v/>
      </c>
      <c r="K271" s="9" t="str">
        <f t="shared" si="2"/>
        <v/>
      </c>
      <c r="L271" s="9" t="str">
        <f t="shared" si="3"/>
        <v/>
      </c>
      <c r="M271" s="32" t="str">
        <f t="shared" si="4"/>
        <v/>
      </c>
      <c r="N271" s="9" t="str">
        <f t="shared" si="5"/>
        <v/>
      </c>
      <c r="O271" s="9" t="str">
        <f t="shared" si="6"/>
        <v/>
      </c>
      <c r="P271" s="9" t="str">
        <f t="shared" si="7"/>
        <v/>
      </c>
      <c r="Q271" s="9" t="str">
        <f t="shared" si="8"/>
        <v/>
      </c>
      <c r="R271" s="9" t="str">
        <f t="shared" si="9"/>
        <v/>
      </c>
    </row>
    <row r="272">
      <c r="A272" s="1" t="str">
        <f t="shared" si="1"/>
        <v/>
      </c>
      <c r="G272" s="9" t="str">
        <f>IFERROR(__xludf.DUMMYFUNCTION("IF(B272="""","""",ROUND(XLOOKUP(B272, FLATTEN(B$1:E271), FLATTEN(O$1:R271), 500, 0, -1)))"),"")</f>
        <v/>
      </c>
      <c r="H272" s="9" t="str">
        <f>IFERROR(__xludf.DUMMYFUNCTION("IF(C272="""","""",ROUND(XLOOKUP(C272, FLATTEN(B$1:E271), FLATTEN(O$1:R271), 500, 0, -1)))"),"")</f>
        <v/>
      </c>
      <c r="I272" s="9" t="str">
        <f>IFERROR(__xludf.DUMMYFUNCTION("IF(D272="""","""",ROUND(XLOOKUP(D272, FLATTEN(B$1:E271), FLATTEN(O$1:R271), 500, 0, -1)))"),"")</f>
        <v/>
      </c>
      <c r="J272" s="9" t="str">
        <f>IFERROR(__xludf.DUMMYFUNCTION("IF(E272="""","""",ROUND(XLOOKUP(E272, FLATTEN(B$1:E271), FLATTEN(O$1:R271), 500, 0, -1)))"),"")</f>
        <v/>
      </c>
      <c r="K272" s="9" t="str">
        <f t="shared" si="2"/>
        <v/>
      </c>
      <c r="L272" s="9" t="str">
        <f t="shared" si="3"/>
        <v/>
      </c>
      <c r="M272" s="32" t="str">
        <f t="shared" si="4"/>
        <v/>
      </c>
      <c r="N272" s="9" t="str">
        <f t="shared" si="5"/>
        <v/>
      </c>
      <c r="O272" s="9" t="str">
        <f t="shared" si="6"/>
        <v/>
      </c>
      <c r="P272" s="9" t="str">
        <f t="shared" si="7"/>
        <v/>
      </c>
      <c r="Q272" s="9" t="str">
        <f t="shared" si="8"/>
        <v/>
      </c>
      <c r="R272" s="9" t="str">
        <f t="shared" si="9"/>
        <v/>
      </c>
    </row>
    <row r="273">
      <c r="A273" s="1" t="str">
        <f t="shared" si="1"/>
        <v/>
      </c>
      <c r="G273" s="9" t="str">
        <f>IFERROR(__xludf.DUMMYFUNCTION("IF(B273="""","""",ROUND(XLOOKUP(B273, FLATTEN(B$1:E272), FLATTEN(O$1:R272), 500, 0, -1)))"),"")</f>
        <v/>
      </c>
      <c r="H273" s="9" t="str">
        <f>IFERROR(__xludf.DUMMYFUNCTION("IF(C273="""","""",ROUND(XLOOKUP(C273, FLATTEN(B$1:E272), FLATTEN(O$1:R272), 500, 0, -1)))"),"")</f>
        <v/>
      </c>
      <c r="I273" s="9" t="str">
        <f>IFERROR(__xludf.DUMMYFUNCTION("IF(D273="""","""",ROUND(XLOOKUP(D273, FLATTEN(B$1:E272), FLATTEN(O$1:R272), 500, 0, -1)))"),"")</f>
        <v/>
      </c>
      <c r="J273" s="9" t="str">
        <f>IFERROR(__xludf.DUMMYFUNCTION("IF(E273="""","""",ROUND(XLOOKUP(E273, FLATTEN(B$1:E272), FLATTEN(O$1:R272), 500, 0, -1)))"),"")</f>
        <v/>
      </c>
      <c r="K273" s="9" t="str">
        <f t="shared" si="2"/>
        <v/>
      </c>
      <c r="L273" s="9" t="str">
        <f t="shared" si="3"/>
        <v/>
      </c>
      <c r="M273" s="32" t="str">
        <f t="shared" si="4"/>
        <v/>
      </c>
      <c r="N273" s="9" t="str">
        <f t="shared" si="5"/>
        <v/>
      </c>
      <c r="O273" s="9" t="str">
        <f t="shared" si="6"/>
        <v/>
      </c>
      <c r="P273" s="9" t="str">
        <f t="shared" si="7"/>
        <v/>
      </c>
      <c r="Q273" s="9" t="str">
        <f t="shared" si="8"/>
        <v/>
      </c>
      <c r="R273" s="9" t="str">
        <f t="shared" si="9"/>
        <v/>
      </c>
    </row>
    <row r="274">
      <c r="A274" s="1" t="str">
        <f t="shared" si="1"/>
        <v/>
      </c>
      <c r="G274" s="9" t="str">
        <f>IFERROR(__xludf.DUMMYFUNCTION("IF(B274="""","""",ROUND(XLOOKUP(B274, FLATTEN(B$1:E273), FLATTEN(O$1:R273), 500, 0, -1)))"),"")</f>
        <v/>
      </c>
      <c r="H274" s="9" t="str">
        <f>IFERROR(__xludf.DUMMYFUNCTION("IF(C274="""","""",ROUND(XLOOKUP(C274, FLATTEN(B$1:E273), FLATTEN(O$1:R273), 500, 0, -1)))"),"")</f>
        <v/>
      </c>
      <c r="I274" s="9" t="str">
        <f>IFERROR(__xludf.DUMMYFUNCTION("IF(D274="""","""",ROUND(XLOOKUP(D274, FLATTEN(B$1:E273), FLATTEN(O$1:R273), 500, 0, -1)))"),"")</f>
        <v/>
      </c>
      <c r="J274" s="9" t="str">
        <f>IFERROR(__xludf.DUMMYFUNCTION("IF(E274="""","""",ROUND(XLOOKUP(E274, FLATTEN(B$1:E273), FLATTEN(O$1:R273), 500, 0, -1)))"),"")</f>
        <v/>
      </c>
      <c r="K274" s="9" t="str">
        <f t="shared" si="2"/>
        <v/>
      </c>
      <c r="L274" s="9" t="str">
        <f t="shared" si="3"/>
        <v/>
      </c>
      <c r="M274" s="32" t="str">
        <f t="shared" si="4"/>
        <v/>
      </c>
      <c r="N274" s="9" t="str">
        <f t="shared" si="5"/>
        <v/>
      </c>
      <c r="O274" s="9" t="str">
        <f t="shared" si="6"/>
        <v/>
      </c>
      <c r="P274" s="9" t="str">
        <f t="shared" si="7"/>
        <v/>
      </c>
      <c r="Q274" s="9" t="str">
        <f t="shared" si="8"/>
        <v/>
      </c>
      <c r="R274" s="9" t="str">
        <f t="shared" si="9"/>
        <v/>
      </c>
    </row>
    <row r="275">
      <c r="A275" s="1" t="str">
        <f t="shared" si="1"/>
        <v/>
      </c>
      <c r="G275" s="9" t="str">
        <f>IFERROR(__xludf.DUMMYFUNCTION("IF(B275="""","""",ROUND(XLOOKUP(B275, FLATTEN(B$1:E274), FLATTEN(O$1:R274), 500, 0, -1)))"),"")</f>
        <v/>
      </c>
      <c r="H275" s="9" t="str">
        <f>IFERROR(__xludf.DUMMYFUNCTION("IF(C275="""","""",ROUND(XLOOKUP(C275, FLATTEN(B$1:E274), FLATTEN(O$1:R274), 500, 0, -1)))"),"")</f>
        <v/>
      </c>
      <c r="I275" s="9" t="str">
        <f>IFERROR(__xludf.DUMMYFUNCTION("IF(D275="""","""",ROUND(XLOOKUP(D275, FLATTEN(B$1:E274), FLATTEN(O$1:R274), 500, 0, -1)))"),"")</f>
        <v/>
      </c>
      <c r="J275" s="9" t="str">
        <f>IFERROR(__xludf.DUMMYFUNCTION("IF(E275="""","""",ROUND(XLOOKUP(E275, FLATTEN(B$1:E274), FLATTEN(O$1:R274), 500, 0, -1)))"),"")</f>
        <v/>
      </c>
      <c r="K275" s="9" t="str">
        <f t="shared" si="2"/>
        <v/>
      </c>
      <c r="L275" s="9" t="str">
        <f t="shared" si="3"/>
        <v/>
      </c>
      <c r="M275" s="32" t="str">
        <f t="shared" si="4"/>
        <v/>
      </c>
      <c r="N275" s="9" t="str">
        <f t="shared" si="5"/>
        <v/>
      </c>
      <c r="O275" s="9" t="str">
        <f t="shared" si="6"/>
        <v/>
      </c>
      <c r="P275" s="9" t="str">
        <f t="shared" si="7"/>
        <v/>
      </c>
      <c r="Q275" s="9" t="str">
        <f t="shared" si="8"/>
        <v/>
      </c>
      <c r="R275" s="9" t="str">
        <f t="shared" si="9"/>
        <v/>
      </c>
    </row>
    <row r="276">
      <c r="A276" s="1" t="str">
        <f t="shared" si="1"/>
        <v/>
      </c>
      <c r="G276" s="9" t="str">
        <f>IFERROR(__xludf.DUMMYFUNCTION("IF(B276="""","""",ROUND(XLOOKUP(B276, FLATTEN(B$1:E275), FLATTEN(O$1:R275), 500, 0, -1)))"),"")</f>
        <v/>
      </c>
      <c r="H276" s="9" t="str">
        <f>IFERROR(__xludf.DUMMYFUNCTION("IF(C276="""","""",ROUND(XLOOKUP(C276, FLATTEN(B$1:E275), FLATTEN(O$1:R275), 500, 0, -1)))"),"")</f>
        <v/>
      </c>
      <c r="I276" s="9" t="str">
        <f>IFERROR(__xludf.DUMMYFUNCTION("IF(D276="""","""",ROUND(XLOOKUP(D276, FLATTEN(B$1:E275), FLATTEN(O$1:R275), 500, 0, -1)))"),"")</f>
        <v/>
      </c>
      <c r="J276" s="9" t="str">
        <f>IFERROR(__xludf.DUMMYFUNCTION("IF(E276="""","""",ROUND(XLOOKUP(E276, FLATTEN(B$1:E275), FLATTEN(O$1:R275), 500, 0, -1)))"),"")</f>
        <v/>
      </c>
      <c r="K276" s="9" t="str">
        <f t="shared" si="2"/>
        <v/>
      </c>
      <c r="L276" s="9" t="str">
        <f t="shared" si="3"/>
        <v/>
      </c>
      <c r="M276" s="32" t="str">
        <f t="shared" si="4"/>
        <v/>
      </c>
      <c r="N276" s="9" t="str">
        <f t="shared" si="5"/>
        <v/>
      </c>
      <c r="O276" s="9" t="str">
        <f t="shared" si="6"/>
        <v/>
      </c>
      <c r="P276" s="9" t="str">
        <f t="shared" si="7"/>
        <v/>
      </c>
      <c r="Q276" s="9" t="str">
        <f t="shared" si="8"/>
        <v/>
      </c>
      <c r="R276" s="9" t="str">
        <f t="shared" si="9"/>
        <v/>
      </c>
    </row>
    <row r="277">
      <c r="A277" s="1" t="str">
        <f t="shared" si="1"/>
        <v/>
      </c>
      <c r="G277" s="9" t="str">
        <f>IFERROR(__xludf.DUMMYFUNCTION("IF(B277="""","""",ROUND(XLOOKUP(B277, FLATTEN(B$1:E276), FLATTEN(O$1:R276), 500, 0, -1)))"),"")</f>
        <v/>
      </c>
      <c r="H277" s="9" t="str">
        <f>IFERROR(__xludf.DUMMYFUNCTION("IF(C277="""","""",ROUND(XLOOKUP(C277, FLATTEN(B$1:E276), FLATTEN(O$1:R276), 500, 0, -1)))"),"")</f>
        <v/>
      </c>
      <c r="I277" s="9" t="str">
        <f>IFERROR(__xludf.DUMMYFUNCTION("IF(D277="""","""",ROUND(XLOOKUP(D277, FLATTEN(B$1:E276), FLATTEN(O$1:R276), 500, 0, -1)))"),"")</f>
        <v/>
      </c>
      <c r="J277" s="9" t="str">
        <f>IFERROR(__xludf.DUMMYFUNCTION("IF(E277="""","""",ROUND(XLOOKUP(E277, FLATTEN(B$1:E276), FLATTEN(O$1:R276), 500, 0, -1)))"),"")</f>
        <v/>
      </c>
      <c r="K277" s="9" t="str">
        <f t="shared" si="2"/>
        <v/>
      </c>
      <c r="L277" s="9" t="str">
        <f t="shared" si="3"/>
        <v/>
      </c>
      <c r="M277" s="32" t="str">
        <f t="shared" si="4"/>
        <v/>
      </c>
      <c r="N277" s="9" t="str">
        <f t="shared" si="5"/>
        <v/>
      </c>
      <c r="O277" s="9" t="str">
        <f t="shared" si="6"/>
        <v/>
      </c>
      <c r="P277" s="9" t="str">
        <f t="shared" si="7"/>
        <v/>
      </c>
      <c r="Q277" s="9" t="str">
        <f t="shared" si="8"/>
        <v/>
      </c>
      <c r="R277" s="9" t="str">
        <f t="shared" si="9"/>
        <v/>
      </c>
    </row>
    <row r="278">
      <c r="A278" s="1" t="str">
        <f t="shared" si="1"/>
        <v/>
      </c>
      <c r="G278" s="9" t="str">
        <f>IFERROR(__xludf.DUMMYFUNCTION("IF(B278="""","""",ROUND(XLOOKUP(B278, FLATTEN(B$1:E277), FLATTEN(O$1:R277), 500, 0, -1)))"),"")</f>
        <v/>
      </c>
      <c r="H278" s="9" t="str">
        <f>IFERROR(__xludf.DUMMYFUNCTION("IF(C278="""","""",ROUND(XLOOKUP(C278, FLATTEN(B$1:E277), FLATTEN(O$1:R277), 500, 0, -1)))"),"")</f>
        <v/>
      </c>
      <c r="I278" s="9" t="str">
        <f>IFERROR(__xludf.DUMMYFUNCTION("IF(D278="""","""",ROUND(XLOOKUP(D278, FLATTEN(B$1:E277), FLATTEN(O$1:R277), 500, 0, -1)))"),"")</f>
        <v/>
      </c>
      <c r="J278" s="9" t="str">
        <f>IFERROR(__xludf.DUMMYFUNCTION("IF(E278="""","""",ROUND(XLOOKUP(E278, FLATTEN(B$1:E277), FLATTEN(O$1:R277), 500, 0, -1)))"),"")</f>
        <v/>
      </c>
      <c r="K278" s="9" t="str">
        <f t="shared" si="2"/>
        <v/>
      </c>
      <c r="L278" s="9" t="str">
        <f t="shared" si="3"/>
        <v/>
      </c>
      <c r="M278" s="32" t="str">
        <f t="shared" si="4"/>
        <v/>
      </c>
      <c r="N278" s="9" t="str">
        <f t="shared" si="5"/>
        <v/>
      </c>
      <c r="O278" s="9" t="str">
        <f t="shared" si="6"/>
        <v/>
      </c>
      <c r="P278" s="9" t="str">
        <f t="shared" si="7"/>
        <v/>
      </c>
      <c r="Q278" s="9" t="str">
        <f t="shared" si="8"/>
        <v/>
      </c>
      <c r="R278" s="9" t="str">
        <f t="shared" si="9"/>
        <v/>
      </c>
    </row>
    <row r="279">
      <c r="A279" s="1" t="str">
        <f t="shared" si="1"/>
        <v/>
      </c>
      <c r="G279" s="9" t="str">
        <f>IFERROR(__xludf.DUMMYFUNCTION("IF(B279="""","""",ROUND(XLOOKUP(B279, FLATTEN(B$1:E278), FLATTEN(O$1:R278), 500, 0, -1)))"),"")</f>
        <v/>
      </c>
      <c r="H279" s="9" t="str">
        <f>IFERROR(__xludf.DUMMYFUNCTION("IF(C279="""","""",ROUND(XLOOKUP(C279, FLATTEN(B$1:E278), FLATTEN(O$1:R278), 500, 0, -1)))"),"")</f>
        <v/>
      </c>
      <c r="I279" s="9" t="str">
        <f>IFERROR(__xludf.DUMMYFUNCTION("IF(D279="""","""",ROUND(XLOOKUP(D279, FLATTEN(B$1:E278), FLATTEN(O$1:R278), 500, 0, -1)))"),"")</f>
        <v/>
      </c>
      <c r="J279" s="9" t="str">
        <f>IFERROR(__xludf.DUMMYFUNCTION("IF(E279="""","""",ROUND(XLOOKUP(E279, FLATTEN(B$1:E278), FLATTEN(O$1:R278), 500, 0, -1)))"),"")</f>
        <v/>
      </c>
      <c r="K279" s="9" t="str">
        <f t="shared" si="2"/>
        <v/>
      </c>
      <c r="L279" s="9" t="str">
        <f t="shared" si="3"/>
        <v/>
      </c>
      <c r="M279" s="32" t="str">
        <f t="shared" si="4"/>
        <v/>
      </c>
      <c r="N279" s="9" t="str">
        <f t="shared" si="5"/>
        <v/>
      </c>
      <c r="O279" s="9" t="str">
        <f t="shared" si="6"/>
        <v/>
      </c>
      <c r="P279" s="9" t="str">
        <f t="shared" si="7"/>
        <v/>
      </c>
      <c r="Q279" s="9" t="str">
        <f t="shared" si="8"/>
        <v/>
      </c>
      <c r="R279" s="9" t="str">
        <f t="shared" si="9"/>
        <v/>
      </c>
    </row>
    <row r="280">
      <c r="A280" s="1" t="str">
        <f t="shared" si="1"/>
        <v/>
      </c>
      <c r="G280" s="9" t="str">
        <f>IFERROR(__xludf.DUMMYFUNCTION("IF(B280="""","""",ROUND(XLOOKUP(B280, FLATTEN(B$1:E279), FLATTEN(O$1:R279), 500, 0, -1)))"),"")</f>
        <v/>
      </c>
      <c r="H280" s="9" t="str">
        <f>IFERROR(__xludf.DUMMYFUNCTION("IF(C280="""","""",ROUND(XLOOKUP(C280, FLATTEN(B$1:E279), FLATTEN(O$1:R279), 500, 0, -1)))"),"")</f>
        <v/>
      </c>
      <c r="I280" s="9" t="str">
        <f>IFERROR(__xludf.DUMMYFUNCTION("IF(D280="""","""",ROUND(XLOOKUP(D280, FLATTEN(B$1:E279), FLATTEN(O$1:R279), 500, 0, -1)))"),"")</f>
        <v/>
      </c>
      <c r="J280" s="9" t="str">
        <f>IFERROR(__xludf.DUMMYFUNCTION("IF(E280="""","""",ROUND(XLOOKUP(E280, FLATTEN(B$1:E279), FLATTEN(O$1:R279), 500, 0, -1)))"),"")</f>
        <v/>
      </c>
      <c r="K280" s="9" t="str">
        <f t="shared" si="2"/>
        <v/>
      </c>
      <c r="L280" s="9" t="str">
        <f t="shared" si="3"/>
        <v/>
      </c>
      <c r="M280" s="32" t="str">
        <f t="shared" si="4"/>
        <v/>
      </c>
      <c r="N280" s="9" t="str">
        <f t="shared" si="5"/>
        <v/>
      </c>
      <c r="O280" s="9" t="str">
        <f t="shared" si="6"/>
        <v/>
      </c>
      <c r="P280" s="9" t="str">
        <f t="shared" si="7"/>
        <v/>
      </c>
      <c r="Q280" s="9" t="str">
        <f t="shared" si="8"/>
        <v/>
      </c>
      <c r="R280" s="9" t="str">
        <f t="shared" si="9"/>
        <v/>
      </c>
    </row>
    <row r="281">
      <c r="A281" s="1" t="str">
        <f t="shared" si="1"/>
        <v/>
      </c>
      <c r="G281" s="9" t="str">
        <f>IFERROR(__xludf.DUMMYFUNCTION("IF(B281="""","""",ROUND(XLOOKUP(B281, FLATTEN(B$1:E280), FLATTEN(O$1:R280), 500, 0, -1)))"),"")</f>
        <v/>
      </c>
      <c r="H281" s="9" t="str">
        <f>IFERROR(__xludf.DUMMYFUNCTION("IF(C281="""","""",ROUND(XLOOKUP(C281, FLATTEN(B$1:E280), FLATTEN(O$1:R280), 500, 0, -1)))"),"")</f>
        <v/>
      </c>
      <c r="I281" s="9" t="str">
        <f>IFERROR(__xludf.DUMMYFUNCTION("IF(D281="""","""",ROUND(XLOOKUP(D281, FLATTEN(B$1:E280), FLATTEN(O$1:R280), 500, 0, -1)))"),"")</f>
        <v/>
      </c>
      <c r="J281" s="9" t="str">
        <f>IFERROR(__xludf.DUMMYFUNCTION("IF(E281="""","""",ROUND(XLOOKUP(E281, FLATTEN(B$1:E280), FLATTEN(O$1:R280), 500, 0, -1)))"),"")</f>
        <v/>
      </c>
      <c r="K281" s="9" t="str">
        <f t="shared" si="2"/>
        <v/>
      </c>
      <c r="L281" s="9" t="str">
        <f t="shared" si="3"/>
        <v/>
      </c>
      <c r="M281" s="32" t="str">
        <f t="shared" si="4"/>
        <v/>
      </c>
      <c r="N281" s="9" t="str">
        <f t="shared" si="5"/>
        <v/>
      </c>
      <c r="O281" s="9" t="str">
        <f t="shared" si="6"/>
        <v/>
      </c>
      <c r="P281" s="9" t="str">
        <f t="shared" si="7"/>
        <v/>
      </c>
      <c r="Q281" s="9" t="str">
        <f t="shared" si="8"/>
        <v/>
      </c>
      <c r="R281" s="9" t="str">
        <f t="shared" si="9"/>
        <v/>
      </c>
    </row>
    <row r="282">
      <c r="A282" s="1" t="str">
        <f t="shared" si="1"/>
        <v/>
      </c>
      <c r="G282" s="9" t="str">
        <f>IFERROR(__xludf.DUMMYFUNCTION("IF(B282="""","""",ROUND(XLOOKUP(B282, FLATTEN(B$1:E281), FLATTEN(O$1:R281), 500, 0, -1)))"),"")</f>
        <v/>
      </c>
      <c r="H282" s="9" t="str">
        <f>IFERROR(__xludf.DUMMYFUNCTION("IF(C282="""","""",ROUND(XLOOKUP(C282, FLATTEN(B$1:E281), FLATTEN(O$1:R281), 500, 0, -1)))"),"")</f>
        <v/>
      </c>
      <c r="I282" s="9" t="str">
        <f>IFERROR(__xludf.DUMMYFUNCTION("IF(D282="""","""",ROUND(XLOOKUP(D282, FLATTEN(B$1:E281), FLATTEN(O$1:R281), 500, 0, -1)))"),"")</f>
        <v/>
      </c>
      <c r="J282" s="9" t="str">
        <f>IFERROR(__xludf.DUMMYFUNCTION("IF(E282="""","""",ROUND(XLOOKUP(E282, FLATTEN(B$1:E281), FLATTEN(O$1:R281), 500, 0, -1)))"),"")</f>
        <v/>
      </c>
      <c r="K282" s="9" t="str">
        <f t="shared" si="2"/>
        <v/>
      </c>
      <c r="L282" s="9" t="str">
        <f t="shared" si="3"/>
        <v/>
      </c>
      <c r="M282" s="32" t="str">
        <f t="shared" si="4"/>
        <v/>
      </c>
      <c r="N282" s="9" t="str">
        <f t="shared" si="5"/>
        <v/>
      </c>
      <c r="O282" s="9" t="str">
        <f t="shared" si="6"/>
        <v/>
      </c>
      <c r="P282" s="9" t="str">
        <f t="shared" si="7"/>
        <v/>
      </c>
      <c r="Q282" s="9" t="str">
        <f t="shared" si="8"/>
        <v/>
      </c>
      <c r="R282" s="9" t="str">
        <f t="shared" si="9"/>
        <v/>
      </c>
    </row>
    <row r="283">
      <c r="A283" s="1" t="str">
        <f t="shared" si="1"/>
        <v/>
      </c>
      <c r="G283" s="9" t="str">
        <f>IFERROR(__xludf.DUMMYFUNCTION("IF(B283="""","""",ROUND(XLOOKUP(B283, FLATTEN(B$1:E282), FLATTEN(O$1:R282), 500, 0, -1)))"),"")</f>
        <v/>
      </c>
      <c r="H283" s="9" t="str">
        <f>IFERROR(__xludf.DUMMYFUNCTION("IF(C283="""","""",ROUND(XLOOKUP(C283, FLATTEN(B$1:E282), FLATTEN(O$1:R282), 500, 0, -1)))"),"")</f>
        <v/>
      </c>
      <c r="I283" s="9" t="str">
        <f>IFERROR(__xludf.DUMMYFUNCTION("IF(D283="""","""",ROUND(XLOOKUP(D283, FLATTEN(B$1:E282), FLATTEN(O$1:R282), 500, 0, -1)))"),"")</f>
        <v/>
      </c>
      <c r="J283" s="9" t="str">
        <f>IFERROR(__xludf.DUMMYFUNCTION("IF(E283="""","""",ROUND(XLOOKUP(E283, FLATTEN(B$1:E282), FLATTEN(O$1:R282), 500, 0, -1)))"),"")</f>
        <v/>
      </c>
      <c r="K283" s="9" t="str">
        <f t="shared" si="2"/>
        <v/>
      </c>
      <c r="L283" s="9" t="str">
        <f t="shared" si="3"/>
        <v/>
      </c>
      <c r="M283" s="32" t="str">
        <f t="shared" si="4"/>
        <v/>
      </c>
      <c r="N283" s="9" t="str">
        <f t="shared" si="5"/>
        <v/>
      </c>
      <c r="O283" s="9" t="str">
        <f t="shared" si="6"/>
        <v/>
      </c>
      <c r="P283" s="9" t="str">
        <f t="shared" si="7"/>
        <v/>
      </c>
      <c r="Q283" s="9" t="str">
        <f t="shared" si="8"/>
        <v/>
      </c>
      <c r="R283" s="9" t="str">
        <f t="shared" si="9"/>
        <v/>
      </c>
    </row>
    <row r="284">
      <c r="A284" s="1" t="str">
        <f t="shared" si="1"/>
        <v/>
      </c>
      <c r="G284" s="9" t="str">
        <f>IFERROR(__xludf.DUMMYFUNCTION("IF(B284="""","""",ROUND(XLOOKUP(B284, FLATTEN(B$1:E283), FLATTEN(O$1:R283), 500, 0, -1)))"),"")</f>
        <v/>
      </c>
      <c r="H284" s="9" t="str">
        <f>IFERROR(__xludf.DUMMYFUNCTION("IF(C284="""","""",ROUND(XLOOKUP(C284, FLATTEN(B$1:E283), FLATTEN(O$1:R283), 500, 0, -1)))"),"")</f>
        <v/>
      </c>
      <c r="I284" s="9" t="str">
        <f>IFERROR(__xludf.DUMMYFUNCTION("IF(D284="""","""",ROUND(XLOOKUP(D284, FLATTEN(B$1:E283), FLATTEN(O$1:R283), 500, 0, -1)))"),"")</f>
        <v/>
      </c>
      <c r="J284" s="9" t="str">
        <f>IFERROR(__xludf.DUMMYFUNCTION("IF(E284="""","""",ROUND(XLOOKUP(E284, FLATTEN(B$1:E283), FLATTEN(O$1:R283), 500, 0, -1)))"),"")</f>
        <v/>
      </c>
      <c r="K284" s="9" t="str">
        <f t="shared" si="2"/>
        <v/>
      </c>
      <c r="L284" s="9" t="str">
        <f t="shared" si="3"/>
        <v/>
      </c>
      <c r="M284" s="32" t="str">
        <f t="shared" si="4"/>
        <v/>
      </c>
      <c r="N284" s="9" t="str">
        <f t="shared" si="5"/>
        <v/>
      </c>
      <c r="O284" s="9" t="str">
        <f t="shared" si="6"/>
        <v/>
      </c>
      <c r="P284" s="9" t="str">
        <f t="shared" si="7"/>
        <v/>
      </c>
      <c r="Q284" s="9" t="str">
        <f t="shared" si="8"/>
        <v/>
      </c>
      <c r="R284" s="9" t="str">
        <f t="shared" si="9"/>
        <v/>
      </c>
    </row>
    <row r="285">
      <c r="A285" s="1" t="str">
        <f t="shared" si="1"/>
        <v/>
      </c>
      <c r="G285" s="9" t="str">
        <f>IFERROR(__xludf.DUMMYFUNCTION("IF(B285="""","""",ROUND(XLOOKUP(B285, FLATTEN(B$1:E284), FLATTEN(O$1:R284), 500, 0, -1)))"),"")</f>
        <v/>
      </c>
      <c r="H285" s="9" t="str">
        <f>IFERROR(__xludf.DUMMYFUNCTION("IF(C285="""","""",ROUND(XLOOKUP(C285, FLATTEN(B$1:E284), FLATTEN(O$1:R284), 500, 0, -1)))"),"")</f>
        <v/>
      </c>
      <c r="I285" s="9" t="str">
        <f>IFERROR(__xludf.DUMMYFUNCTION("IF(D285="""","""",ROUND(XLOOKUP(D285, FLATTEN(B$1:E284), FLATTEN(O$1:R284), 500, 0, -1)))"),"")</f>
        <v/>
      </c>
      <c r="J285" s="9" t="str">
        <f>IFERROR(__xludf.DUMMYFUNCTION("IF(E285="""","""",ROUND(XLOOKUP(E285, FLATTEN(B$1:E284), FLATTEN(O$1:R284), 500, 0, -1)))"),"")</f>
        <v/>
      </c>
      <c r="K285" s="9" t="str">
        <f t="shared" si="2"/>
        <v/>
      </c>
      <c r="L285" s="9" t="str">
        <f t="shared" si="3"/>
        <v/>
      </c>
      <c r="M285" s="32" t="str">
        <f t="shared" si="4"/>
        <v/>
      </c>
      <c r="N285" s="9" t="str">
        <f t="shared" si="5"/>
        <v/>
      </c>
      <c r="O285" s="9" t="str">
        <f t="shared" si="6"/>
        <v/>
      </c>
      <c r="P285" s="9" t="str">
        <f t="shared" si="7"/>
        <v/>
      </c>
      <c r="Q285" s="9" t="str">
        <f t="shared" si="8"/>
        <v/>
      </c>
      <c r="R285" s="9" t="str">
        <f t="shared" si="9"/>
        <v/>
      </c>
    </row>
    <row r="286">
      <c r="A286" s="1" t="str">
        <f t="shared" si="1"/>
        <v/>
      </c>
      <c r="G286" s="9" t="str">
        <f>IFERROR(__xludf.DUMMYFUNCTION("IF(B286="""","""",ROUND(XLOOKUP(B286, FLATTEN(B$1:E285), FLATTEN(O$1:R285), 500, 0, -1)))"),"")</f>
        <v/>
      </c>
      <c r="H286" s="9" t="str">
        <f>IFERROR(__xludf.DUMMYFUNCTION("IF(C286="""","""",ROUND(XLOOKUP(C286, FLATTEN(B$1:E285), FLATTEN(O$1:R285), 500, 0, -1)))"),"")</f>
        <v/>
      </c>
      <c r="I286" s="9" t="str">
        <f>IFERROR(__xludf.DUMMYFUNCTION("IF(D286="""","""",ROUND(XLOOKUP(D286, FLATTEN(B$1:E285), FLATTEN(O$1:R285), 500, 0, -1)))"),"")</f>
        <v/>
      </c>
      <c r="J286" s="9" t="str">
        <f>IFERROR(__xludf.DUMMYFUNCTION("IF(E286="""","""",ROUND(XLOOKUP(E286, FLATTEN(B$1:E285), FLATTEN(O$1:R285), 500, 0, -1)))"),"")</f>
        <v/>
      </c>
      <c r="K286" s="9" t="str">
        <f t="shared" si="2"/>
        <v/>
      </c>
      <c r="L286" s="9" t="str">
        <f t="shared" si="3"/>
        <v/>
      </c>
      <c r="M286" s="32" t="str">
        <f t="shared" si="4"/>
        <v/>
      </c>
      <c r="N286" s="9" t="str">
        <f t="shared" si="5"/>
        <v/>
      </c>
      <c r="O286" s="9" t="str">
        <f t="shared" si="6"/>
        <v/>
      </c>
      <c r="P286" s="9" t="str">
        <f t="shared" si="7"/>
        <v/>
      </c>
      <c r="Q286" s="9" t="str">
        <f t="shared" si="8"/>
        <v/>
      </c>
      <c r="R286" s="9" t="str">
        <f t="shared" si="9"/>
        <v/>
      </c>
    </row>
    <row r="287">
      <c r="A287" s="1" t="str">
        <f t="shared" si="1"/>
        <v/>
      </c>
      <c r="G287" s="9" t="str">
        <f>IFERROR(__xludf.DUMMYFUNCTION("IF(B287="""","""",ROUND(XLOOKUP(B287, FLATTEN(B$1:E286), FLATTEN(O$1:R286), 500, 0, -1)))"),"")</f>
        <v/>
      </c>
      <c r="H287" s="9" t="str">
        <f>IFERROR(__xludf.DUMMYFUNCTION("IF(C287="""","""",ROUND(XLOOKUP(C287, FLATTEN(B$1:E286), FLATTEN(O$1:R286), 500, 0, -1)))"),"")</f>
        <v/>
      </c>
      <c r="I287" s="9" t="str">
        <f>IFERROR(__xludf.DUMMYFUNCTION("IF(D287="""","""",ROUND(XLOOKUP(D287, FLATTEN(B$1:E286), FLATTEN(O$1:R286), 500, 0, -1)))"),"")</f>
        <v/>
      </c>
      <c r="J287" s="9" t="str">
        <f>IFERROR(__xludf.DUMMYFUNCTION("IF(E287="""","""",ROUND(XLOOKUP(E287, FLATTEN(B$1:E286), FLATTEN(O$1:R286), 500, 0, -1)))"),"")</f>
        <v/>
      </c>
      <c r="K287" s="9" t="str">
        <f t="shared" si="2"/>
        <v/>
      </c>
      <c r="L287" s="9" t="str">
        <f t="shared" si="3"/>
        <v/>
      </c>
      <c r="M287" s="32" t="str">
        <f t="shared" si="4"/>
        <v/>
      </c>
      <c r="N287" s="9" t="str">
        <f t="shared" si="5"/>
        <v/>
      </c>
      <c r="O287" s="9" t="str">
        <f t="shared" si="6"/>
        <v/>
      </c>
      <c r="P287" s="9" t="str">
        <f t="shared" si="7"/>
        <v/>
      </c>
      <c r="Q287" s="9" t="str">
        <f t="shared" si="8"/>
        <v/>
      </c>
      <c r="R287" s="9" t="str">
        <f t="shared" si="9"/>
        <v/>
      </c>
    </row>
    <row r="288">
      <c r="A288" s="1" t="str">
        <f t="shared" si="1"/>
        <v/>
      </c>
      <c r="G288" s="9" t="str">
        <f>IFERROR(__xludf.DUMMYFUNCTION("IF(B288="""","""",ROUND(XLOOKUP(B288, FLATTEN(B$1:E287), FLATTEN(O$1:R287), 500, 0, -1)))"),"")</f>
        <v/>
      </c>
      <c r="H288" s="9" t="str">
        <f>IFERROR(__xludf.DUMMYFUNCTION("IF(C288="""","""",ROUND(XLOOKUP(C288, FLATTEN(B$1:E287), FLATTEN(O$1:R287), 500, 0, -1)))"),"")</f>
        <v/>
      </c>
      <c r="I288" s="9" t="str">
        <f>IFERROR(__xludf.DUMMYFUNCTION("IF(D288="""","""",ROUND(XLOOKUP(D288, FLATTEN(B$1:E287), FLATTEN(O$1:R287), 500, 0, -1)))"),"")</f>
        <v/>
      </c>
      <c r="J288" s="9" t="str">
        <f>IFERROR(__xludf.DUMMYFUNCTION("IF(E288="""","""",ROUND(XLOOKUP(E288, FLATTEN(B$1:E287), FLATTEN(O$1:R287), 500, 0, -1)))"),"")</f>
        <v/>
      </c>
      <c r="K288" s="9" t="str">
        <f t="shared" si="2"/>
        <v/>
      </c>
      <c r="L288" s="9" t="str">
        <f t="shared" si="3"/>
        <v/>
      </c>
      <c r="M288" s="32" t="str">
        <f t="shared" si="4"/>
        <v/>
      </c>
      <c r="N288" s="9" t="str">
        <f t="shared" si="5"/>
        <v/>
      </c>
      <c r="O288" s="9" t="str">
        <f t="shared" si="6"/>
        <v/>
      </c>
      <c r="P288" s="9" t="str">
        <f t="shared" si="7"/>
        <v/>
      </c>
      <c r="Q288" s="9" t="str">
        <f t="shared" si="8"/>
        <v/>
      </c>
      <c r="R288" s="9" t="str">
        <f t="shared" si="9"/>
        <v/>
      </c>
    </row>
    <row r="289">
      <c r="A289" s="1" t="str">
        <f t="shared" si="1"/>
        <v/>
      </c>
      <c r="G289" s="9" t="str">
        <f>IFERROR(__xludf.DUMMYFUNCTION("IF(B289="""","""",ROUND(XLOOKUP(B289, FLATTEN(B$1:E288), FLATTEN(O$1:R288), 500, 0, -1)))"),"")</f>
        <v/>
      </c>
      <c r="H289" s="9" t="str">
        <f>IFERROR(__xludf.DUMMYFUNCTION("IF(C289="""","""",ROUND(XLOOKUP(C289, FLATTEN(B$1:E288), FLATTEN(O$1:R288), 500, 0, -1)))"),"")</f>
        <v/>
      </c>
      <c r="I289" s="9" t="str">
        <f>IFERROR(__xludf.DUMMYFUNCTION("IF(D289="""","""",ROUND(XLOOKUP(D289, FLATTEN(B$1:E288), FLATTEN(O$1:R288), 500, 0, -1)))"),"")</f>
        <v/>
      </c>
      <c r="J289" s="9" t="str">
        <f>IFERROR(__xludf.DUMMYFUNCTION("IF(E289="""","""",ROUND(XLOOKUP(E289, FLATTEN(B$1:E288), FLATTEN(O$1:R288), 500, 0, -1)))"),"")</f>
        <v/>
      </c>
      <c r="K289" s="9" t="str">
        <f t="shared" si="2"/>
        <v/>
      </c>
      <c r="L289" s="9" t="str">
        <f t="shared" si="3"/>
        <v/>
      </c>
      <c r="M289" s="32" t="str">
        <f t="shared" si="4"/>
        <v/>
      </c>
      <c r="N289" s="9" t="str">
        <f t="shared" si="5"/>
        <v/>
      </c>
      <c r="O289" s="9" t="str">
        <f t="shared" si="6"/>
        <v/>
      </c>
      <c r="P289" s="9" t="str">
        <f t="shared" si="7"/>
        <v/>
      </c>
      <c r="Q289" s="9" t="str">
        <f t="shared" si="8"/>
        <v/>
      </c>
      <c r="R289" s="9" t="str">
        <f t="shared" si="9"/>
        <v/>
      </c>
    </row>
    <row r="290">
      <c r="A290" s="1" t="str">
        <f t="shared" si="1"/>
        <v/>
      </c>
      <c r="G290" s="9" t="str">
        <f>IFERROR(__xludf.DUMMYFUNCTION("IF(B290="""","""",ROUND(XLOOKUP(B290, FLATTEN(B$1:E289), FLATTEN(O$1:R289), 500, 0, -1)))"),"")</f>
        <v/>
      </c>
      <c r="H290" s="9" t="str">
        <f>IFERROR(__xludf.DUMMYFUNCTION("IF(C290="""","""",ROUND(XLOOKUP(C290, FLATTEN(B$1:E289), FLATTEN(O$1:R289), 500, 0, -1)))"),"")</f>
        <v/>
      </c>
      <c r="I290" s="9" t="str">
        <f>IFERROR(__xludf.DUMMYFUNCTION("IF(D290="""","""",ROUND(XLOOKUP(D290, FLATTEN(B$1:E289), FLATTEN(O$1:R289), 500, 0, -1)))"),"")</f>
        <v/>
      </c>
      <c r="J290" s="9" t="str">
        <f>IFERROR(__xludf.DUMMYFUNCTION("IF(E290="""","""",ROUND(XLOOKUP(E290, FLATTEN(B$1:E289), FLATTEN(O$1:R289), 500, 0, -1)))"),"")</f>
        <v/>
      </c>
      <c r="K290" s="9" t="str">
        <f t="shared" si="2"/>
        <v/>
      </c>
      <c r="L290" s="9" t="str">
        <f t="shared" si="3"/>
        <v/>
      </c>
      <c r="M290" s="32" t="str">
        <f t="shared" si="4"/>
        <v/>
      </c>
      <c r="N290" s="9" t="str">
        <f t="shared" si="5"/>
        <v/>
      </c>
      <c r="O290" s="9" t="str">
        <f t="shared" si="6"/>
        <v/>
      </c>
      <c r="P290" s="9" t="str">
        <f t="shared" si="7"/>
        <v/>
      </c>
      <c r="Q290" s="9" t="str">
        <f t="shared" si="8"/>
        <v/>
      </c>
      <c r="R290" s="9" t="str">
        <f t="shared" si="9"/>
        <v/>
      </c>
    </row>
    <row r="291">
      <c r="A291" s="1" t="str">
        <f t="shared" si="1"/>
        <v/>
      </c>
      <c r="G291" s="9" t="str">
        <f>IFERROR(__xludf.DUMMYFUNCTION("IF(B291="""","""",ROUND(XLOOKUP(B291, FLATTEN(B$1:E290), FLATTEN(O$1:R290), 500, 0, -1)))"),"")</f>
        <v/>
      </c>
      <c r="H291" s="9" t="str">
        <f>IFERROR(__xludf.DUMMYFUNCTION("IF(C291="""","""",ROUND(XLOOKUP(C291, FLATTEN(B$1:E290), FLATTEN(O$1:R290), 500, 0, -1)))"),"")</f>
        <v/>
      </c>
      <c r="I291" s="9" t="str">
        <f>IFERROR(__xludf.DUMMYFUNCTION("IF(D291="""","""",ROUND(XLOOKUP(D291, FLATTEN(B$1:E290), FLATTEN(O$1:R290), 500, 0, -1)))"),"")</f>
        <v/>
      </c>
      <c r="J291" s="9" t="str">
        <f>IFERROR(__xludf.DUMMYFUNCTION("IF(E291="""","""",ROUND(XLOOKUP(E291, FLATTEN(B$1:E290), FLATTEN(O$1:R290), 500, 0, -1)))"),"")</f>
        <v/>
      </c>
      <c r="K291" s="9" t="str">
        <f t="shared" si="2"/>
        <v/>
      </c>
      <c r="L291" s="9" t="str">
        <f t="shared" si="3"/>
        <v/>
      </c>
      <c r="M291" s="32" t="str">
        <f t="shared" si="4"/>
        <v/>
      </c>
      <c r="N291" s="9" t="str">
        <f t="shared" si="5"/>
        <v/>
      </c>
      <c r="O291" s="9" t="str">
        <f t="shared" si="6"/>
        <v/>
      </c>
      <c r="P291" s="9" t="str">
        <f t="shared" si="7"/>
        <v/>
      </c>
      <c r="Q291" s="9" t="str">
        <f t="shared" si="8"/>
        <v/>
      </c>
      <c r="R291" s="9" t="str">
        <f t="shared" si="9"/>
        <v/>
      </c>
    </row>
    <row r="292">
      <c r="A292" s="1" t="str">
        <f t="shared" si="1"/>
        <v/>
      </c>
      <c r="G292" s="9" t="str">
        <f>IFERROR(__xludf.DUMMYFUNCTION("IF(B292="""","""",ROUND(XLOOKUP(B292, FLATTEN(B$1:E291), FLATTEN(O$1:R291), 500, 0, -1)))"),"")</f>
        <v/>
      </c>
      <c r="H292" s="9" t="str">
        <f>IFERROR(__xludf.DUMMYFUNCTION("IF(C292="""","""",ROUND(XLOOKUP(C292, FLATTEN(B$1:E291), FLATTEN(O$1:R291), 500, 0, -1)))"),"")</f>
        <v/>
      </c>
      <c r="I292" s="9" t="str">
        <f>IFERROR(__xludf.DUMMYFUNCTION("IF(D292="""","""",ROUND(XLOOKUP(D292, FLATTEN(B$1:E291), FLATTEN(O$1:R291), 500, 0, -1)))"),"")</f>
        <v/>
      </c>
      <c r="J292" s="9" t="str">
        <f>IFERROR(__xludf.DUMMYFUNCTION("IF(E292="""","""",ROUND(XLOOKUP(E292, FLATTEN(B$1:E291), FLATTEN(O$1:R291), 500, 0, -1)))"),"")</f>
        <v/>
      </c>
      <c r="K292" s="9" t="str">
        <f t="shared" si="2"/>
        <v/>
      </c>
      <c r="L292" s="9" t="str">
        <f t="shared" si="3"/>
        <v/>
      </c>
      <c r="M292" s="32" t="str">
        <f t="shared" si="4"/>
        <v/>
      </c>
      <c r="N292" s="9" t="str">
        <f t="shared" si="5"/>
        <v/>
      </c>
      <c r="O292" s="9" t="str">
        <f t="shared" si="6"/>
        <v/>
      </c>
      <c r="P292" s="9" t="str">
        <f t="shared" si="7"/>
        <v/>
      </c>
      <c r="Q292" s="9" t="str">
        <f t="shared" si="8"/>
        <v/>
      </c>
      <c r="R292" s="9" t="str">
        <f t="shared" si="9"/>
        <v/>
      </c>
    </row>
    <row r="293">
      <c r="A293" s="1" t="str">
        <f t="shared" si="1"/>
        <v/>
      </c>
      <c r="G293" s="9" t="str">
        <f>IFERROR(__xludf.DUMMYFUNCTION("IF(B293="""","""",ROUND(XLOOKUP(B293, FLATTEN(B$1:E292), FLATTEN(O$1:R292), 500, 0, -1)))"),"")</f>
        <v/>
      </c>
      <c r="H293" s="9" t="str">
        <f>IFERROR(__xludf.DUMMYFUNCTION("IF(C293="""","""",ROUND(XLOOKUP(C293, FLATTEN(B$1:E292), FLATTEN(O$1:R292), 500, 0, -1)))"),"")</f>
        <v/>
      </c>
      <c r="I293" s="9" t="str">
        <f>IFERROR(__xludf.DUMMYFUNCTION("IF(D293="""","""",ROUND(XLOOKUP(D293, FLATTEN(B$1:E292), FLATTEN(O$1:R292), 500, 0, -1)))"),"")</f>
        <v/>
      </c>
      <c r="J293" s="9" t="str">
        <f>IFERROR(__xludf.DUMMYFUNCTION("IF(E293="""","""",ROUND(XLOOKUP(E293, FLATTEN(B$1:E292), FLATTEN(O$1:R292), 500, 0, -1)))"),"")</f>
        <v/>
      </c>
      <c r="K293" s="9" t="str">
        <f t="shared" si="2"/>
        <v/>
      </c>
      <c r="L293" s="9" t="str">
        <f t="shared" si="3"/>
        <v/>
      </c>
      <c r="M293" s="32" t="str">
        <f t="shared" si="4"/>
        <v/>
      </c>
      <c r="N293" s="9" t="str">
        <f t="shared" si="5"/>
        <v/>
      </c>
      <c r="O293" s="9" t="str">
        <f t="shared" si="6"/>
        <v/>
      </c>
      <c r="P293" s="9" t="str">
        <f t="shared" si="7"/>
        <v/>
      </c>
      <c r="Q293" s="9" t="str">
        <f t="shared" si="8"/>
        <v/>
      </c>
      <c r="R293" s="9" t="str">
        <f t="shared" si="9"/>
        <v/>
      </c>
    </row>
    <row r="294">
      <c r="A294" s="1" t="str">
        <f t="shared" si="1"/>
        <v/>
      </c>
      <c r="G294" s="9" t="str">
        <f>IFERROR(__xludf.DUMMYFUNCTION("IF(B294="""","""",ROUND(XLOOKUP(B294, FLATTEN(B$1:E293), FLATTEN(O$1:R293), 500, 0, -1)))"),"")</f>
        <v/>
      </c>
      <c r="H294" s="9" t="str">
        <f>IFERROR(__xludf.DUMMYFUNCTION("IF(C294="""","""",ROUND(XLOOKUP(C294, FLATTEN(B$1:E293), FLATTEN(O$1:R293), 500, 0, -1)))"),"")</f>
        <v/>
      </c>
      <c r="I294" s="9" t="str">
        <f>IFERROR(__xludf.DUMMYFUNCTION("IF(D294="""","""",ROUND(XLOOKUP(D294, FLATTEN(B$1:E293), FLATTEN(O$1:R293), 500, 0, -1)))"),"")</f>
        <v/>
      </c>
      <c r="J294" s="9" t="str">
        <f>IFERROR(__xludf.DUMMYFUNCTION("IF(E294="""","""",ROUND(XLOOKUP(E294, FLATTEN(B$1:E293), FLATTEN(O$1:R293), 500, 0, -1)))"),"")</f>
        <v/>
      </c>
      <c r="K294" s="9" t="str">
        <f t="shared" si="2"/>
        <v/>
      </c>
      <c r="L294" s="9" t="str">
        <f t="shared" si="3"/>
        <v/>
      </c>
      <c r="M294" s="32" t="str">
        <f t="shared" si="4"/>
        <v/>
      </c>
      <c r="N294" s="9" t="str">
        <f t="shared" si="5"/>
        <v/>
      </c>
      <c r="O294" s="9" t="str">
        <f t="shared" si="6"/>
        <v/>
      </c>
      <c r="P294" s="9" t="str">
        <f t="shared" si="7"/>
        <v/>
      </c>
      <c r="Q294" s="9" t="str">
        <f t="shared" si="8"/>
        <v/>
      </c>
      <c r="R294" s="9" t="str">
        <f t="shared" si="9"/>
        <v/>
      </c>
    </row>
    <row r="295">
      <c r="A295" s="1" t="str">
        <f t="shared" si="1"/>
        <v/>
      </c>
      <c r="G295" s="9" t="str">
        <f>IFERROR(__xludf.DUMMYFUNCTION("IF(B295="""","""",ROUND(XLOOKUP(B295, FLATTEN(B$1:E294), FLATTEN(O$1:R294), 500, 0, -1)))"),"")</f>
        <v/>
      </c>
      <c r="H295" s="9" t="str">
        <f>IFERROR(__xludf.DUMMYFUNCTION("IF(C295="""","""",ROUND(XLOOKUP(C295, FLATTEN(B$1:E294), FLATTEN(O$1:R294), 500, 0, -1)))"),"")</f>
        <v/>
      </c>
      <c r="I295" s="9" t="str">
        <f>IFERROR(__xludf.DUMMYFUNCTION("IF(D295="""","""",ROUND(XLOOKUP(D295, FLATTEN(B$1:E294), FLATTEN(O$1:R294), 500, 0, -1)))"),"")</f>
        <v/>
      </c>
      <c r="J295" s="9" t="str">
        <f>IFERROR(__xludf.DUMMYFUNCTION("IF(E295="""","""",ROUND(XLOOKUP(E295, FLATTEN(B$1:E294), FLATTEN(O$1:R294), 500, 0, -1)))"),"")</f>
        <v/>
      </c>
      <c r="K295" s="9" t="str">
        <f t="shared" si="2"/>
        <v/>
      </c>
      <c r="L295" s="9" t="str">
        <f t="shared" si="3"/>
        <v/>
      </c>
      <c r="M295" s="32" t="str">
        <f t="shared" si="4"/>
        <v/>
      </c>
      <c r="N295" s="9" t="str">
        <f t="shared" si="5"/>
        <v/>
      </c>
      <c r="O295" s="9" t="str">
        <f t="shared" si="6"/>
        <v/>
      </c>
      <c r="P295" s="9" t="str">
        <f t="shared" si="7"/>
        <v/>
      </c>
      <c r="Q295" s="9" t="str">
        <f t="shared" si="8"/>
        <v/>
      </c>
      <c r="R295" s="9" t="str">
        <f t="shared" si="9"/>
        <v/>
      </c>
    </row>
    <row r="296">
      <c r="A296" s="1" t="str">
        <f t="shared" si="1"/>
        <v/>
      </c>
      <c r="G296" s="9" t="str">
        <f>IFERROR(__xludf.DUMMYFUNCTION("IF(B296="""","""",ROUND(XLOOKUP(B296, FLATTEN(B$1:E295), FLATTEN(O$1:R295), 500, 0, -1)))"),"")</f>
        <v/>
      </c>
      <c r="H296" s="9" t="str">
        <f>IFERROR(__xludf.DUMMYFUNCTION("IF(C296="""","""",ROUND(XLOOKUP(C296, FLATTEN(B$1:E295), FLATTEN(O$1:R295), 500, 0, -1)))"),"")</f>
        <v/>
      </c>
      <c r="I296" s="9" t="str">
        <f>IFERROR(__xludf.DUMMYFUNCTION("IF(D296="""","""",ROUND(XLOOKUP(D296, FLATTEN(B$1:E295), FLATTEN(O$1:R295), 500, 0, -1)))"),"")</f>
        <v/>
      </c>
      <c r="J296" s="9" t="str">
        <f>IFERROR(__xludf.DUMMYFUNCTION("IF(E296="""","""",ROUND(XLOOKUP(E296, FLATTEN(B$1:E295), FLATTEN(O$1:R295), 500, 0, -1)))"),"")</f>
        <v/>
      </c>
      <c r="K296" s="9" t="str">
        <f t="shared" si="2"/>
        <v/>
      </c>
      <c r="L296" s="9" t="str">
        <f t="shared" si="3"/>
        <v/>
      </c>
      <c r="M296" s="32" t="str">
        <f t="shared" si="4"/>
        <v/>
      </c>
      <c r="N296" s="9" t="str">
        <f t="shared" si="5"/>
        <v/>
      </c>
      <c r="O296" s="9" t="str">
        <f t="shared" si="6"/>
        <v/>
      </c>
      <c r="P296" s="9" t="str">
        <f t="shared" si="7"/>
        <v/>
      </c>
      <c r="Q296" s="9" t="str">
        <f t="shared" si="8"/>
        <v/>
      </c>
      <c r="R296" s="9" t="str">
        <f t="shared" si="9"/>
        <v/>
      </c>
    </row>
    <row r="297">
      <c r="A297" s="1" t="str">
        <f t="shared" si="1"/>
        <v/>
      </c>
      <c r="G297" s="9" t="str">
        <f>IFERROR(__xludf.DUMMYFUNCTION("IF(B297="""","""",ROUND(XLOOKUP(B297, FLATTEN(B$1:E296), FLATTEN(O$1:R296), 500, 0, -1)))"),"")</f>
        <v/>
      </c>
      <c r="H297" s="9" t="str">
        <f>IFERROR(__xludf.DUMMYFUNCTION("IF(C297="""","""",ROUND(XLOOKUP(C297, FLATTEN(B$1:E296), FLATTEN(O$1:R296), 500, 0, -1)))"),"")</f>
        <v/>
      </c>
      <c r="I297" s="9" t="str">
        <f>IFERROR(__xludf.DUMMYFUNCTION("IF(D297="""","""",ROUND(XLOOKUP(D297, FLATTEN(B$1:E296), FLATTEN(O$1:R296), 500, 0, -1)))"),"")</f>
        <v/>
      </c>
      <c r="J297" s="9" t="str">
        <f>IFERROR(__xludf.DUMMYFUNCTION("IF(E297="""","""",ROUND(XLOOKUP(E297, FLATTEN(B$1:E296), FLATTEN(O$1:R296), 500, 0, -1)))"),"")</f>
        <v/>
      </c>
      <c r="K297" s="9" t="str">
        <f t="shared" si="2"/>
        <v/>
      </c>
      <c r="L297" s="9" t="str">
        <f t="shared" si="3"/>
        <v/>
      </c>
      <c r="M297" s="32" t="str">
        <f t="shared" si="4"/>
        <v/>
      </c>
      <c r="N297" s="9" t="str">
        <f t="shared" si="5"/>
        <v/>
      </c>
      <c r="O297" s="9" t="str">
        <f t="shared" si="6"/>
        <v/>
      </c>
      <c r="P297" s="9" t="str">
        <f t="shared" si="7"/>
        <v/>
      </c>
      <c r="Q297" s="9" t="str">
        <f t="shared" si="8"/>
        <v/>
      </c>
      <c r="R297" s="9" t="str">
        <f t="shared" si="9"/>
        <v/>
      </c>
    </row>
    <row r="298">
      <c r="A298" s="1" t="str">
        <f t="shared" si="1"/>
        <v/>
      </c>
      <c r="G298" s="9" t="str">
        <f>IFERROR(__xludf.DUMMYFUNCTION("IF(B298="""","""",ROUND(XLOOKUP(B298, FLATTEN(B$1:E297), FLATTEN(O$1:R297), 500, 0, -1)))"),"")</f>
        <v/>
      </c>
      <c r="H298" s="9" t="str">
        <f>IFERROR(__xludf.DUMMYFUNCTION("IF(C298="""","""",ROUND(XLOOKUP(C298, FLATTEN(B$1:E297), FLATTEN(O$1:R297), 500, 0, -1)))"),"")</f>
        <v/>
      </c>
      <c r="I298" s="9" t="str">
        <f>IFERROR(__xludf.DUMMYFUNCTION("IF(D298="""","""",ROUND(XLOOKUP(D298, FLATTEN(B$1:E297), FLATTEN(O$1:R297), 500, 0, -1)))"),"")</f>
        <v/>
      </c>
      <c r="J298" s="9" t="str">
        <f>IFERROR(__xludf.DUMMYFUNCTION("IF(E298="""","""",ROUND(XLOOKUP(E298, FLATTEN(B$1:E297), FLATTEN(O$1:R297), 500, 0, -1)))"),"")</f>
        <v/>
      </c>
      <c r="K298" s="9" t="str">
        <f t="shared" si="2"/>
        <v/>
      </c>
      <c r="L298" s="9" t="str">
        <f t="shared" si="3"/>
        <v/>
      </c>
      <c r="M298" s="32" t="str">
        <f t="shared" si="4"/>
        <v/>
      </c>
      <c r="N298" s="9" t="str">
        <f t="shared" si="5"/>
        <v/>
      </c>
      <c r="O298" s="9" t="str">
        <f t="shared" si="6"/>
        <v/>
      </c>
      <c r="P298" s="9" t="str">
        <f t="shared" si="7"/>
        <v/>
      </c>
      <c r="Q298" s="9" t="str">
        <f t="shared" si="8"/>
        <v/>
      </c>
      <c r="R298" s="9" t="str">
        <f t="shared" si="9"/>
        <v/>
      </c>
    </row>
    <row r="299">
      <c r="A299" s="1" t="str">
        <f t="shared" si="1"/>
        <v/>
      </c>
      <c r="G299" s="9" t="str">
        <f>IFERROR(__xludf.DUMMYFUNCTION("IF(B299="""","""",ROUND(XLOOKUP(B299, FLATTEN(B$1:E298), FLATTEN(O$1:R298), 500, 0, -1)))"),"")</f>
        <v/>
      </c>
      <c r="H299" s="9" t="str">
        <f>IFERROR(__xludf.DUMMYFUNCTION("IF(C299="""","""",ROUND(XLOOKUP(C299, FLATTEN(B$1:E298), FLATTEN(O$1:R298), 500, 0, -1)))"),"")</f>
        <v/>
      </c>
      <c r="I299" s="9" t="str">
        <f>IFERROR(__xludf.DUMMYFUNCTION("IF(D299="""","""",ROUND(XLOOKUP(D299, FLATTEN(B$1:E298), FLATTEN(O$1:R298), 500, 0, -1)))"),"")</f>
        <v/>
      </c>
      <c r="J299" s="9" t="str">
        <f>IFERROR(__xludf.DUMMYFUNCTION("IF(E299="""","""",ROUND(XLOOKUP(E299, FLATTEN(B$1:E298), FLATTEN(O$1:R298), 500, 0, -1)))"),"")</f>
        <v/>
      </c>
      <c r="K299" s="9" t="str">
        <f t="shared" si="2"/>
        <v/>
      </c>
      <c r="L299" s="9" t="str">
        <f t="shared" si="3"/>
        <v/>
      </c>
      <c r="M299" s="32" t="str">
        <f t="shared" si="4"/>
        <v/>
      </c>
      <c r="N299" s="9" t="str">
        <f t="shared" si="5"/>
        <v/>
      </c>
      <c r="O299" s="9" t="str">
        <f t="shared" si="6"/>
        <v/>
      </c>
      <c r="P299" s="9" t="str">
        <f t="shared" si="7"/>
        <v/>
      </c>
      <c r="Q299" s="9" t="str">
        <f t="shared" si="8"/>
        <v/>
      </c>
      <c r="R299" s="9" t="str">
        <f t="shared" si="9"/>
        <v/>
      </c>
    </row>
    <row r="300">
      <c r="A300" s="1" t="str">
        <f t="shared" si="1"/>
        <v/>
      </c>
      <c r="G300" s="9" t="str">
        <f>IFERROR(__xludf.DUMMYFUNCTION("IF(B300="""","""",ROUND(XLOOKUP(B300, FLATTEN(B$1:E299), FLATTEN(O$1:R299), 500, 0, -1)))"),"")</f>
        <v/>
      </c>
      <c r="H300" s="9" t="str">
        <f>IFERROR(__xludf.DUMMYFUNCTION("IF(C300="""","""",ROUND(XLOOKUP(C300, FLATTEN(B$1:E299), FLATTEN(O$1:R299), 500, 0, -1)))"),"")</f>
        <v/>
      </c>
      <c r="I300" s="9" t="str">
        <f>IFERROR(__xludf.DUMMYFUNCTION("IF(D300="""","""",ROUND(XLOOKUP(D300, FLATTEN(B$1:E299), FLATTEN(O$1:R299), 500, 0, -1)))"),"")</f>
        <v/>
      </c>
      <c r="J300" s="9" t="str">
        <f>IFERROR(__xludf.DUMMYFUNCTION("IF(E300="""","""",ROUND(XLOOKUP(E300, FLATTEN(B$1:E299), FLATTEN(O$1:R299), 500, 0, -1)))"),"")</f>
        <v/>
      </c>
      <c r="K300" s="9" t="str">
        <f t="shared" si="2"/>
        <v/>
      </c>
      <c r="L300" s="9" t="str">
        <f t="shared" si="3"/>
        <v/>
      </c>
      <c r="M300" s="32" t="str">
        <f t="shared" si="4"/>
        <v/>
      </c>
      <c r="N300" s="9" t="str">
        <f t="shared" si="5"/>
        <v/>
      </c>
      <c r="O300" s="9" t="str">
        <f t="shared" si="6"/>
        <v/>
      </c>
      <c r="P300" s="9" t="str">
        <f t="shared" si="7"/>
        <v/>
      </c>
      <c r="Q300" s="9" t="str">
        <f t="shared" si="8"/>
        <v/>
      </c>
      <c r="R300" s="9" t="str">
        <f t="shared" si="9"/>
        <v/>
      </c>
    </row>
    <row r="301">
      <c r="A301" s="1" t="str">
        <f t="shared" si="1"/>
        <v/>
      </c>
      <c r="G301" s="9" t="str">
        <f>IFERROR(__xludf.DUMMYFUNCTION("IF(B301="""","""",ROUND(XLOOKUP(B301, FLATTEN(B$1:E300), FLATTEN(O$1:R300), 500, 0, -1)))"),"")</f>
        <v/>
      </c>
      <c r="H301" s="9" t="str">
        <f>IFERROR(__xludf.DUMMYFUNCTION("IF(C301="""","""",ROUND(XLOOKUP(C301, FLATTEN(B$1:E300), FLATTEN(O$1:R300), 500, 0, -1)))"),"")</f>
        <v/>
      </c>
      <c r="I301" s="9" t="str">
        <f>IFERROR(__xludf.DUMMYFUNCTION("IF(D301="""","""",ROUND(XLOOKUP(D301, FLATTEN(B$1:E300), FLATTEN(O$1:R300), 500, 0, -1)))"),"")</f>
        <v/>
      </c>
      <c r="J301" s="9" t="str">
        <f>IFERROR(__xludf.DUMMYFUNCTION("IF(E301="""","""",ROUND(XLOOKUP(E301, FLATTEN(B$1:E300), FLATTEN(O$1:R300), 500, 0, -1)))"),"")</f>
        <v/>
      </c>
      <c r="K301" s="9" t="str">
        <f t="shared" si="2"/>
        <v/>
      </c>
      <c r="L301" s="9" t="str">
        <f t="shared" si="3"/>
        <v/>
      </c>
      <c r="M301" s="32" t="str">
        <f t="shared" si="4"/>
        <v/>
      </c>
      <c r="N301" s="9" t="str">
        <f t="shared" si="5"/>
        <v/>
      </c>
      <c r="O301" s="9" t="str">
        <f t="shared" si="6"/>
        <v/>
      </c>
      <c r="P301" s="9" t="str">
        <f t="shared" si="7"/>
        <v/>
      </c>
      <c r="Q301" s="9" t="str">
        <f t="shared" si="8"/>
        <v/>
      </c>
      <c r="R301" s="9" t="str">
        <f t="shared" si="9"/>
        <v/>
      </c>
    </row>
    <row r="302">
      <c r="A302" s="1" t="str">
        <f t="shared" si="1"/>
        <v/>
      </c>
      <c r="G302" s="9" t="str">
        <f>IFERROR(__xludf.DUMMYFUNCTION("IF(B302="""","""",ROUND(XLOOKUP(B302, FLATTEN(B$1:E301), FLATTEN(O$1:R301), 500, 0, -1)))"),"")</f>
        <v/>
      </c>
      <c r="H302" s="9" t="str">
        <f>IFERROR(__xludf.DUMMYFUNCTION("IF(C302="""","""",ROUND(XLOOKUP(C302, FLATTEN(B$1:E301), FLATTEN(O$1:R301), 500, 0, -1)))"),"")</f>
        <v/>
      </c>
      <c r="I302" s="9" t="str">
        <f>IFERROR(__xludf.DUMMYFUNCTION("IF(D302="""","""",ROUND(XLOOKUP(D302, FLATTEN(B$1:E301), FLATTEN(O$1:R301), 500, 0, -1)))"),"")</f>
        <v/>
      </c>
      <c r="J302" s="9" t="str">
        <f>IFERROR(__xludf.DUMMYFUNCTION("IF(E302="""","""",ROUND(XLOOKUP(E302, FLATTEN(B$1:E301), FLATTEN(O$1:R301), 500, 0, -1)))"),"")</f>
        <v/>
      </c>
      <c r="K302" s="9" t="str">
        <f t="shared" si="2"/>
        <v/>
      </c>
      <c r="L302" s="9" t="str">
        <f t="shared" si="3"/>
        <v/>
      </c>
      <c r="M302" s="32" t="str">
        <f t="shared" si="4"/>
        <v/>
      </c>
      <c r="N302" s="9" t="str">
        <f t="shared" si="5"/>
        <v/>
      </c>
      <c r="O302" s="9" t="str">
        <f t="shared" si="6"/>
        <v/>
      </c>
      <c r="P302" s="9" t="str">
        <f t="shared" si="7"/>
        <v/>
      </c>
      <c r="Q302" s="9" t="str">
        <f t="shared" si="8"/>
        <v/>
      </c>
      <c r="R302" s="9" t="str">
        <f t="shared" si="9"/>
        <v/>
      </c>
    </row>
    <row r="303">
      <c r="A303" s="1" t="str">
        <f t="shared" si="1"/>
        <v/>
      </c>
      <c r="G303" s="9" t="str">
        <f>IFERROR(__xludf.DUMMYFUNCTION("IF(B303="""","""",ROUND(XLOOKUP(B303, FLATTEN(B$1:E302), FLATTEN(O$1:R302), 500, 0, -1)))"),"")</f>
        <v/>
      </c>
      <c r="H303" s="9" t="str">
        <f>IFERROR(__xludf.DUMMYFUNCTION("IF(C303="""","""",ROUND(XLOOKUP(C303, FLATTEN(B$1:E302), FLATTEN(O$1:R302), 500, 0, -1)))"),"")</f>
        <v/>
      </c>
      <c r="I303" s="9" t="str">
        <f>IFERROR(__xludf.DUMMYFUNCTION("IF(D303="""","""",ROUND(XLOOKUP(D303, FLATTEN(B$1:E302), FLATTEN(O$1:R302), 500, 0, -1)))"),"")</f>
        <v/>
      </c>
      <c r="J303" s="9" t="str">
        <f>IFERROR(__xludf.DUMMYFUNCTION("IF(E303="""","""",ROUND(XLOOKUP(E303, FLATTEN(B$1:E302), FLATTEN(O$1:R302), 500, 0, -1)))"),"")</f>
        <v/>
      </c>
      <c r="K303" s="9" t="str">
        <f t="shared" si="2"/>
        <v/>
      </c>
      <c r="L303" s="9" t="str">
        <f t="shared" si="3"/>
        <v/>
      </c>
      <c r="M303" s="32" t="str">
        <f t="shared" si="4"/>
        <v/>
      </c>
      <c r="N303" s="9" t="str">
        <f t="shared" si="5"/>
        <v/>
      </c>
      <c r="O303" s="9" t="str">
        <f t="shared" si="6"/>
        <v/>
      </c>
      <c r="P303" s="9" t="str">
        <f t="shared" si="7"/>
        <v/>
      </c>
      <c r="Q303" s="9" t="str">
        <f t="shared" si="8"/>
        <v/>
      </c>
      <c r="R303" s="9" t="str">
        <f t="shared" si="9"/>
        <v/>
      </c>
    </row>
    <row r="304">
      <c r="A304" s="1" t="str">
        <f t="shared" si="1"/>
        <v/>
      </c>
      <c r="G304" s="9" t="str">
        <f>IFERROR(__xludf.DUMMYFUNCTION("IF(B304="""","""",ROUND(XLOOKUP(B304, FLATTEN(B$1:E303), FLATTEN(O$1:R303), 500, 0, -1)))"),"")</f>
        <v/>
      </c>
      <c r="H304" s="9" t="str">
        <f>IFERROR(__xludf.DUMMYFUNCTION("IF(C304="""","""",ROUND(XLOOKUP(C304, FLATTEN(B$1:E303), FLATTEN(O$1:R303), 500, 0, -1)))"),"")</f>
        <v/>
      </c>
      <c r="I304" s="9" t="str">
        <f>IFERROR(__xludf.DUMMYFUNCTION("IF(D304="""","""",ROUND(XLOOKUP(D304, FLATTEN(B$1:E303), FLATTEN(O$1:R303), 500, 0, -1)))"),"")</f>
        <v/>
      </c>
      <c r="J304" s="9" t="str">
        <f>IFERROR(__xludf.DUMMYFUNCTION("IF(E304="""","""",ROUND(XLOOKUP(E304, FLATTEN(B$1:E303), FLATTEN(O$1:R303), 500, 0, -1)))"),"")</f>
        <v/>
      </c>
      <c r="K304" s="9" t="str">
        <f t="shared" si="2"/>
        <v/>
      </c>
      <c r="L304" s="9" t="str">
        <f t="shared" si="3"/>
        <v/>
      </c>
      <c r="M304" s="32" t="str">
        <f t="shared" si="4"/>
        <v/>
      </c>
      <c r="N304" s="9" t="str">
        <f t="shared" si="5"/>
        <v/>
      </c>
      <c r="O304" s="9" t="str">
        <f t="shared" si="6"/>
        <v/>
      </c>
      <c r="P304" s="9" t="str">
        <f t="shared" si="7"/>
        <v/>
      </c>
      <c r="Q304" s="9" t="str">
        <f t="shared" si="8"/>
        <v/>
      </c>
      <c r="R304" s="9" t="str">
        <f t="shared" si="9"/>
        <v/>
      </c>
    </row>
    <row r="305">
      <c r="A305" s="1" t="str">
        <f t="shared" si="1"/>
        <v/>
      </c>
      <c r="G305" s="9" t="str">
        <f>IFERROR(__xludf.DUMMYFUNCTION("IF(B305="""","""",ROUND(XLOOKUP(B305, FLATTEN(B$1:E304), FLATTEN(O$1:R304), 500, 0, -1)))"),"")</f>
        <v/>
      </c>
      <c r="H305" s="9" t="str">
        <f>IFERROR(__xludf.DUMMYFUNCTION("IF(C305="""","""",ROUND(XLOOKUP(C305, FLATTEN(B$1:E304), FLATTEN(O$1:R304), 500, 0, -1)))"),"")</f>
        <v/>
      </c>
      <c r="I305" s="9" t="str">
        <f>IFERROR(__xludf.DUMMYFUNCTION("IF(D305="""","""",ROUND(XLOOKUP(D305, FLATTEN(B$1:E304), FLATTEN(O$1:R304), 500, 0, -1)))"),"")</f>
        <v/>
      </c>
      <c r="J305" s="9" t="str">
        <f>IFERROR(__xludf.DUMMYFUNCTION("IF(E305="""","""",ROUND(XLOOKUP(E305, FLATTEN(B$1:E304), FLATTEN(O$1:R304), 500, 0, -1)))"),"")</f>
        <v/>
      </c>
      <c r="K305" s="9" t="str">
        <f t="shared" si="2"/>
        <v/>
      </c>
      <c r="L305" s="9" t="str">
        <f t="shared" si="3"/>
        <v/>
      </c>
      <c r="M305" s="32" t="str">
        <f t="shared" si="4"/>
        <v/>
      </c>
      <c r="N305" s="9" t="str">
        <f t="shared" si="5"/>
        <v/>
      </c>
      <c r="O305" s="9" t="str">
        <f t="shared" si="6"/>
        <v/>
      </c>
      <c r="P305" s="9" t="str">
        <f t="shared" si="7"/>
        <v/>
      </c>
      <c r="Q305" s="9" t="str">
        <f t="shared" si="8"/>
        <v/>
      </c>
      <c r="R305" s="9" t="str">
        <f t="shared" si="9"/>
        <v/>
      </c>
    </row>
    <row r="306">
      <c r="A306" s="1" t="str">
        <f t="shared" si="1"/>
        <v/>
      </c>
      <c r="G306" s="9" t="str">
        <f>IFERROR(__xludf.DUMMYFUNCTION("IF(B306="""","""",ROUND(XLOOKUP(B306, FLATTEN(B$1:E305), FLATTEN(O$1:R305), 500, 0, -1)))"),"")</f>
        <v/>
      </c>
      <c r="H306" s="9" t="str">
        <f>IFERROR(__xludf.DUMMYFUNCTION("IF(C306="""","""",ROUND(XLOOKUP(C306, FLATTEN(B$1:E305), FLATTEN(O$1:R305), 500, 0, -1)))"),"")</f>
        <v/>
      </c>
      <c r="I306" s="9" t="str">
        <f>IFERROR(__xludf.DUMMYFUNCTION("IF(D306="""","""",ROUND(XLOOKUP(D306, FLATTEN(B$1:E305), FLATTEN(O$1:R305), 500, 0, -1)))"),"")</f>
        <v/>
      </c>
      <c r="J306" s="9" t="str">
        <f>IFERROR(__xludf.DUMMYFUNCTION("IF(E306="""","""",ROUND(XLOOKUP(E306, FLATTEN(B$1:E305), FLATTEN(O$1:R305), 500, 0, -1)))"),"")</f>
        <v/>
      </c>
      <c r="K306" s="9" t="str">
        <f t="shared" si="2"/>
        <v/>
      </c>
      <c r="L306" s="9" t="str">
        <f t="shared" si="3"/>
        <v/>
      </c>
      <c r="M306" s="32" t="str">
        <f t="shared" si="4"/>
        <v/>
      </c>
      <c r="N306" s="9" t="str">
        <f t="shared" si="5"/>
        <v/>
      </c>
      <c r="O306" s="9" t="str">
        <f t="shared" si="6"/>
        <v/>
      </c>
      <c r="P306" s="9" t="str">
        <f t="shared" si="7"/>
        <v/>
      </c>
      <c r="Q306" s="9" t="str">
        <f t="shared" si="8"/>
        <v/>
      </c>
      <c r="R306" s="9" t="str">
        <f t="shared" si="9"/>
        <v/>
      </c>
    </row>
    <row r="307">
      <c r="A307" s="1" t="str">
        <f t="shared" si="1"/>
        <v/>
      </c>
      <c r="G307" s="9" t="str">
        <f>IFERROR(__xludf.DUMMYFUNCTION("IF(B307="""","""",ROUND(XLOOKUP(B307, FLATTEN(B$1:E306), FLATTEN(O$1:R306), 500, 0, -1)))"),"")</f>
        <v/>
      </c>
      <c r="H307" s="9" t="str">
        <f>IFERROR(__xludf.DUMMYFUNCTION("IF(C307="""","""",ROUND(XLOOKUP(C307, FLATTEN(B$1:E306), FLATTEN(O$1:R306), 500, 0, -1)))"),"")</f>
        <v/>
      </c>
      <c r="I307" s="9" t="str">
        <f>IFERROR(__xludf.DUMMYFUNCTION("IF(D307="""","""",ROUND(XLOOKUP(D307, FLATTEN(B$1:E306), FLATTEN(O$1:R306), 500, 0, -1)))"),"")</f>
        <v/>
      </c>
      <c r="J307" s="9" t="str">
        <f>IFERROR(__xludf.DUMMYFUNCTION("IF(E307="""","""",ROUND(XLOOKUP(E307, FLATTEN(B$1:E306), FLATTEN(O$1:R306), 500, 0, -1)))"),"")</f>
        <v/>
      </c>
      <c r="K307" s="9" t="str">
        <f t="shared" si="2"/>
        <v/>
      </c>
      <c r="L307" s="9" t="str">
        <f t="shared" si="3"/>
        <v/>
      </c>
      <c r="M307" s="32" t="str">
        <f t="shared" si="4"/>
        <v/>
      </c>
      <c r="N307" s="9" t="str">
        <f t="shared" si="5"/>
        <v/>
      </c>
      <c r="O307" s="9" t="str">
        <f t="shared" si="6"/>
        <v/>
      </c>
      <c r="P307" s="9" t="str">
        <f t="shared" si="7"/>
        <v/>
      </c>
      <c r="Q307" s="9" t="str">
        <f t="shared" si="8"/>
        <v/>
      </c>
      <c r="R307" s="9" t="str">
        <f t="shared" si="9"/>
        <v/>
      </c>
    </row>
    <row r="308">
      <c r="A308" s="1" t="str">
        <f t="shared" si="1"/>
        <v/>
      </c>
      <c r="G308" s="9" t="str">
        <f>IFERROR(__xludf.DUMMYFUNCTION("IF(B308="""","""",ROUND(XLOOKUP(B308, FLATTEN(B$1:E307), FLATTEN(O$1:R307), 500, 0, -1)))"),"")</f>
        <v/>
      </c>
      <c r="H308" s="9" t="str">
        <f>IFERROR(__xludf.DUMMYFUNCTION("IF(C308="""","""",ROUND(XLOOKUP(C308, FLATTEN(B$1:E307), FLATTEN(O$1:R307), 500, 0, -1)))"),"")</f>
        <v/>
      </c>
      <c r="I308" s="9" t="str">
        <f>IFERROR(__xludf.DUMMYFUNCTION("IF(D308="""","""",ROUND(XLOOKUP(D308, FLATTEN(B$1:E307), FLATTEN(O$1:R307), 500, 0, -1)))"),"")</f>
        <v/>
      </c>
      <c r="J308" s="9" t="str">
        <f>IFERROR(__xludf.DUMMYFUNCTION("IF(E308="""","""",ROUND(XLOOKUP(E308, FLATTEN(B$1:E307), FLATTEN(O$1:R307), 500, 0, -1)))"),"")</f>
        <v/>
      </c>
      <c r="K308" s="9" t="str">
        <f t="shared" si="2"/>
        <v/>
      </c>
      <c r="L308" s="9" t="str">
        <f t="shared" si="3"/>
        <v/>
      </c>
      <c r="M308" s="32" t="str">
        <f t="shared" si="4"/>
        <v/>
      </c>
      <c r="N308" s="9" t="str">
        <f t="shared" si="5"/>
        <v/>
      </c>
      <c r="O308" s="9" t="str">
        <f t="shared" si="6"/>
        <v/>
      </c>
      <c r="P308" s="9" t="str">
        <f t="shared" si="7"/>
        <v/>
      </c>
      <c r="Q308" s="9" t="str">
        <f t="shared" si="8"/>
        <v/>
      </c>
      <c r="R308" s="9" t="str">
        <f t="shared" si="9"/>
        <v/>
      </c>
    </row>
    <row r="309">
      <c r="A309" s="1" t="str">
        <f t="shared" si="1"/>
        <v/>
      </c>
      <c r="G309" s="9" t="str">
        <f>IFERROR(__xludf.DUMMYFUNCTION("IF(B309="""","""",ROUND(XLOOKUP(B309, FLATTEN(B$1:E308), FLATTEN(O$1:R308), 500, 0, -1)))"),"")</f>
        <v/>
      </c>
      <c r="H309" s="9" t="str">
        <f>IFERROR(__xludf.DUMMYFUNCTION("IF(C309="""","""",ROUND(XLOOKUP(C309, FLATTEN(B$1:E308), FLATTEN(O$1:R308), 500, 0, -1)))"),"")</f>
        <v/>
      </c>
      <c r="I309" s="9" t="str">
        <f>IFERROR(__xludf.DUMMYFUNCTION("IF(D309="""","""",ROUND(XLOOKUP(D309, FLATTEN(B$1:E308), FLATTEN(O$1:R308), 500, 0, -1)))"),"")</f>
        <v/>
      </c>
      <c r="J309" s="9" t="str">
        <f>IFERROR(__xludf.DUMMYFUNCTION("IF(E309="""","""",ROUND(XLOOKUP(E309, FLATTEN(B$1:E308), FLATTEN(O$1:R308), 500, 0, -1)))"),"")</f>
        <v/>
      </c>
      <c r="K309" s="9" t="str">
        <f t="shared" si="2"/>
        <v/>
      </c>
      <c r="L309" s="9" t="str">
        <f t="shared" si="3"/>
        <v/>
      </c>
      <c r="M309" s="32" t="str">
        <f t="shared" si="4"/>
        <v/>
      </c>
      <c r="N309" s="9" t="str">
        <f t="shared" si="5"/>
        <v/>
      </c>
      <c r="O309" s="9" t="str">
        <f t="shared" si="6"/>
        <v/>
      </c>
      <c r="P309" s="9" t="str">
        <f t="shared" si="7"/>
        <v/>
      </c>
      <c r="Q309" s="9" t="str">
        <f t="shared" si="8"/>
        <v/>
      </c>
      <c r="R309" s="9" t="str">
        <f t="shared" si="9"/>
        <v/>
      </c>
    </row>
    <row r="310">
      <c r="A310" s="1" t="str">
        <f t="shared" si="1"/>
        <v/>
      </c>
      <c r="G310" s="9" t="str">
        <f>IFERROR(__xludf.DUMMYFUNCTION("IF(B310="""","""",ROUND(XLOOKUP(B310, FLATTEN(B$1:E309), FLATTEN(O$1:R309), 500, 0, -1)))"),"")</f>
        <v/>
      </c>
      <c r="H310" s="9" t="str">
        <f>IFERROR(__xludf.DUMMYFUNCTION("IF(C310="""","""",ROUND(XLOOKUP(C310, FLATTEN(B$1:E309), FLATTEN(O$1:R309), 500, 0, -1)))"),"")</f>
        <v/>
      </c>
      <c r="I310" s="9" t="str">
        <f>IFERROR(__xludf.DUMMYFUNCTION("IF(D310="""","""",ROUND(XLOOKUP(D310, FLATTEN(B$1:E309), FLATTEN(O$1:R309), 500, 0, -1)))"),"")</f>
        <v/>
      </c>
      <c r="J310" s="9" t="str">
        <f>IFERROR(__xludf.DUMMYFUNCTION("IF(E310="""","""",ROUND(XLOOKUP(E310, FLATTEN(B$1:E309), FLATTEN(O$1:R309), 500, 0, -1)))"),"")</f>
        <v/>
      </c>
      <c r="K310" s="9" t="str">
        <f t="shared" si="2"/>
        <v/>
      </c>
      <c r="L310" s="9" t="str">
        <f t="shared" si="3"/>
        <v/>
      </c>
      <c r="M310" s="32" t="str">
        <f t="shared" si="4"/>
        <v/>
      </c>
      <c r="N310" s="9" t="str">
        <f t="shared" si="5"/>
        <v/>
      </c>
      <c r="O310" s="9" t="str">
        <f t="shared" si="6"/>
        <v/>
      </c>
      <c r="P310" s="9" t="str">
        <f t="shared" si="7"/>
        <v/>
      </c>
      <c r="Q310" s="9" t="str">
        <f t="shared" si="8"/>
        <v/>
      </c>
      <c r="R310" s="9" t="str">
        <f t="shared" si="9"/>
        <v/>
      </c>
    </row>
    <row r="311">
      <c r="A311" s="1" t="str">
        <f t="shared" si="1"/>
        <v/>
      </c>
      <c r="G311" s="9" t="str">
        <f>IFERROR(__xludf.DUMMYFUNCTION("IF(B311="""","""",ROUND(XLOOKUP(B311, FLATTEN(B$1:E310), FLATTEN(O$1:R310), 500, 0, -1)))"),"")</f>
        <v/>
      </c>
      <c r="H311" s="9" t="str">
        <f>IFERROR(__xludf.DUMMYFUNCTION("IF(C311="""","""",ROUND(XLOOKUP(C311, FLATTEN(B$1:E310), FLATTEN(O$1:R310), 500, 0, -1)))"),"")</f>
        <v/>
      </c>
      <c r="I311" s="9" t="str">
        <f>IFERROR(__xludf.DUMMYFUNCTION("IF(D311="""","""",ROUND(XLOOKUP(D311, FLATTEN(B$1:E310), FLATTEN(O$1:R310), 500, 0, -1)))"),"")</f>
        <v/>
      </c>
      <c r="J311" s="9" t="str">
        <f>IFERROR(__xludf.DUMMYFUNCTION("IF(E311="""","""",ROUND(XLOOKUP(E311, FLATTEN(B$1:E310), FLATTEN(O$1:R310), 500, 0, -1)))"),"")</f>
        <v/>
      </c>
      <c r="K311" s="9" t="str">
        <f t="shared" si="2"/>
        <v/>
      </c>
      <c r="L311" s="9" t="str">
        <f t="shared" si="3"/>
        <v/>
      </c>
      <c r="M311" s="32" t="str">
        <f t="shared" si="4"/>
        <v/>
      </c>
      <c r="N311" s="9" t="str">
        <f t="shared" si="5"/>
        <v/>
      </c>
      <c r="O311" s="9" t="str">
        <f t="shared" si="6"/>
        <v/>
      </c>
      <c r="P311" s="9" t="str">
        <f t="shared" si="7"/>
        <v/>
      </c>
      <c r="Q311" s="9" t="str">
        <f t="shared" si="8"/>
        <v/>
      </c>
      <c r="R311" s="9" t="str">
        <f t="shared" si="9"/>
        <v/>
      </c>
    </row>
    <row r="312">
      <c r="A312" s="1" t="str">
        <f t="shared" si="1"/>
        <v/>
      </c>
      <c r="G312" s="9" t="str">
        <f>IFERROR(__xludf.DUMMYFUNCTION("IF(B312="""","""",ROUND(XLOOKUP(B312, FLATTEN(B$1:E311), FLATTEN(O$1:R311), 500, 0, -1)))"),"")</f>
        <v/>
      </c>
      <c r="H312" s="9" t="str">
        <f>IFERROR(__xludf.DUMMYFUNCTION("IF(C312="""","""",ROUND(XLOOKUP(C312, FLATTEN(B$1:E311), FLATTEN(O$1:R311), 500, 0, -1)))"),"")</f>
        <v/>
      </c>
      <c r="I312" s="9" t="str">
        <f>IFERROR(__xludf.DUMMYFUNCTION("IF(D312="""","""",ROUND(XLOOKUP(D312, FLATTEN(B$1:E311), FLATTEN(O$1:R311), 500, 0, -1)))"),"")</f>
        <v/>
      </c>
      <c r="J312" s="9" t="str">
        <f>IFERROR(__xludf.DUMMYFUNCTION("IF(E312="""","""",ROUND(XLOOKUP(E312, FLATTEN(B$1:E311), FLATTEN(O$1:R311), 500, 0, -1)))"),"")</f>
        <v/>
      </c>
      <c r="K312" s="9" t="str">
        <f t="shared" si="2"/>
        <v/>
      </c>
      <c r="L312" s="9" t="str">
        <f t="shared" si="3"/>
        <v/>
      </c>
      <c r="M312" s="32" t="str">
        <f t="shared" si="4"/>
        <v/>
      </c>
      <c r="N312" s="9" t="str">
        <f t="shared" si="5"/>
        <v/>
      </c>
      <c r="O312" s="9" t="str">
        <f t="shared" si="6"/>
        <v/>
      </c>
      <c r="P312" s="9" t="str">
        <f t="shared" si="7"/>
        <v/>
      </c>
      <c r="Q312" s="9" t="str">
        <f t="shared" si="8"/>
        <v/>
      </c>
      <c r="R312" s="9" t="str">
        <f t="shared" si="9"/>
        <v/>
      </c>
    </row>
    <row r="313">
      <c r="A313" s="1" t="str">
        <f t="shared" si="1"/>
        <v/>
      </c>
      <c r="G313" s="9" t="str">
        <f>IFERROR(__xludf.DUMMYFUNCTION("IF(B313="""","""",ROUND(XLOOKUP(B313, FLATTEN(B$1:E312), FLATTEN(O$1:R312), 500, 0, -1)))"),"")</f>
        <v/>
      </c>
      <c r="H313" s="9" t="str">
        <f>IFERROR(__xludf.DUMMYFUNCTION("IF(C313="""","""",ROUND(XLOOKUP(C313, FLATTEN(B$1:E312), FLATTEN(O$1:R312), 500, 0, -1)))"),"")</f>
        <v/>
      </c>
      <c r="I313" s="9" t="str">
        <f>IFERROR(__xludf.DUMMYFUNCTION("IF(D313="""","""",ROUND(XLOOKUP(D313, FLATTEN(B$1:E312), FLATTEN(O$1:R312), 500, 0, -1)))"),"")</f>
        <v/>
      </c>
      <c r="J313" s="9" t="str">
        <f>IFERROR(__xludf.DUMMYFUNCTION("IF(E313="""","""",ROUND(XLOOKUP(E313, FLATTEN(B$1:E312), FLATTEN(O$1:R312), 500, 0, -1)))"),"")</f>
        <v/>
      </c>
      <c r="K313" s="9" t="str">
        <f t="shared" si="2"/>
        <v/>
      </c>
      <c r="L313" s="9" t="str">
        <f t="shared" si="3"/>
        <v/>
      </c>
      <c r="M313" s="32" t="str">
        <f t="shared" si="4"/>
        <v/>
      </c>
      <c r="N313" s="9" t="str">
        <f t="shared" si="5"/>
        <v/>
      </c>
      <c r="O313" s="9" t="str">
        <f t="shared" si="6"/>
        <v/>
      </c>
      <c r="P313" s="9" t="str">
        <f t="shared" si="7"/>
        <v/>
      </c>
      <c r="Q313" s="9" t="str">
        <f t="shared" si="8"/>
        <v/>
      </c>
      <c r="R313" s="9" t="str">
        <f t="shared" si="9"/>
        <v/>
      </c>
    </row>
    <row r="314">
      <c r="A314" s="1" t="str">
        <f t="shared" si="1"/>
        <v/>
      </c>
      <c r="G314" s="9" t="str">
        <f>IFERROR(__xludf.DUMMYFUNCTION("IF(B314="""","""",ROUND(XLOOKUP(B314, FLATTEN(B$1:E313), FLATTEN(O$1:R313), 500, 0, -1)))"),"")</f>
        <v/>
      </c>
      <c r="H314" s="9" t="str">
        <f>IFERROR(__xludf.DUMMYFUNCTION("IF(C314="""","""",ROUND(XLOOKUP(C314, FLATTEN(B$1:E313), FLATTEN(O$1:R313), 500, 0, -1)))"),"")</f>
        <v/>
      </c>
      <c r="I314" s="9" t="str">
        <f>IFERROR(__xludf.DUMMYFUNCTION("IF(D314="""","""",ROUND(XLOOKUP(D314, FLATTEN(B$1:E313), FLATTEN(O$1:R313), 500, 0, -1)))"),"")</f>
        <v/>
      </c>
      <c r="J314" s="9" t="str">
        <f>IFERROR(__xludf.DUMMYFUNCTION("IF(E314="""","""",ROUND(XLOOKUP(E314, FLATTEN(B$1:E313), FLATTEN(O$1:R313), 500, 0, -1)))"),"")</f>
        <v/>
      </c>
      <c r="K314" s="9" t="str">
        <f t="shared" si="2"/>
        <v/>
      </c>
      <c r="L314" s="9" t="str">
        <f t="shared" si="3"/>
        <v/>
      </c>
      <c r="M314" s="32" t="str">
        <f t="shared" si="4"/>
        <v/>
      </c>
      <c r="N314" s="9" t="str">
        <f t="shared" si="5"/>
        <v/>
      </c>
      <c r="O314" s="9" t="str">
        <f t="shared" si="6"/>
        <v/>
      </c>
      <c r="P314" s="9" t="str">
        <f t="shared" si="7"/>
        <v/>
      </c>
      <c r="Q314" s="9" t="str">
        <f t="shared" si="8"/>
        <v/>
      </c>
      <c r="R314" s="9" t="str">
        <f t="shared" si="9"/>
        <v/>
      </c>
    </row>
    <row r="315">
      <c r="A315" s="1" t="str">
        <f t="shared" si="1"/>
        <v/>
      </c>
      <c r="G315" s="9" t="str">
        <f>IFERROR(__xludf.DUMMYFUNCTION("IF(B315="""","""",ROUND(XLOOKUP(B315, FLATTEN(B$1:E314), FLATTEN(O$1:R314), 500, 0, -1)))"),"")</f>
        <v/>
      </c>
      <c r="H315" s="9" t="str">
        <f>IFERROR(__xludf.DUMMYFUNCTION("IF(C315="""","""",ROUND(XLOOKUP(C315, FLATTEN(B$1:E314), FLATTEN(O$1:R314), 500, 0, -1)))"),"")</f>
        <v/>
      </c>
      <c r="I315" s="9" t="str">
        <f>IFERROR(__xludf.DUMMYFUNCTION("IF(D315="""","""",ROUND(XLOOKUP(D315, FLATTEN(B$1:E314), FLATTEN(O$1:R314), 500, 0, -1)))"),"")</f>
        <v/>
      </c>
      <c r="J315" s="9" t="str">
        <f>IFERROR(__xludf.DUMMYFUNCTION("IF(E315="""","""",ROUND(XLOOKUP(E315, FLATTEN(B$1:E314), FLATTEN(O$1:R314), 500, 0, -1)))"),"")</f>
        <v/>
      </c>
      <c r="K315" s="9" t="str">
        <f t="shared" si="2"/>
        <v/>
      </c>
      <c r="L315" s="9" t="str">
        <f t="shared" si="3"/>
        <v/>
      </c>
      <c r="M315" s="32" t="str">
        <f t="shared" si="4"/>
        <v/>
      </c>
      <c r="N315" s="9" t="str">
        <f t="shared" si="5"/>
        <v/>
      </c>
      <c r="O315" s="9" t="str">
        <f t="shared" si="6"/>
        <v/>
      </c>
      <c r="P315" s="9" t="str">
        <f t="shared" si="7"/>
        <v/>
      </c>
      <c r="Q315" s="9" t="str">
        <f t="shared" si="8"/>
        <v/>
      </c>
      <c r="R315" s="9" t="str">
        <f t="shared" si="9"/>
        <v/>
      </c>
    </row>
    <row r="316">
      <c r="A316" s="1" t="str">
        <f t="shared" si="1"/>
        <v/>
      </c>
      <c r="G316" s="9" t="str">
        <f>IFERROR(__xludf.DUMMYFUNCTION("IF(B316="""","""",ROUND(XLOOKUP(B316, FLATTEN(B$1:E315), FLATTEN(O$1:R315), 500, 0, -1)))"),"")</f>
        <v/>
      </c>
      <c r="H316" s="9" t="str">
        <f>IFERROR(__xludf.DUMMYFUNCTION("IF(C316="""","""",ROUND(XLOOKUP(C316, FLATTEN(B$1:E315), FLATTEN(O$1:R315), 500, 0, -1)))"),"")</f>
        <v/>
      </c>
      <c r="I316" s="9" t="str">
        <f>IFERROR(__xludf.DUMMYFUNCTION("IF(D316="""","""",ROUND(XLOOKUP(D316, FLATTEN(B$1:E315), FLATTEN(O$1:R315), 500, 0, -1)))"),"")</f>
        <v/>
      </c>
      <c r="J316" s="9" t="str">
        <f>IFERROR(__xludf.DUMMYFUNCTION("IF(E316="""","""",ROUND(XLOOKUP(E316, FLATTEN(B$1:E315), FLATTEN(O$1:R315), 500, 0, -1)))"),"")</f>
        <v/>
      </c>
      <c r="K316" s="9" t="str">
        <f t="shared" si="2"/>
        <v/>
      </c>
      <c r="L316" s="9" t="str">
        <f t="shared" si="3"/>
        <v/>
      </c>
      <c r="M316" s="32" t="str">
        <f t="shared" si="4"/>
        <v/>
      </c>
      <c r="N316" s="9" t="str">
        <f t="shared" si="5"/>
        <v/>
      </c>
      <c r="O316" s="9" t="str">
        <f t="shared" si="6"/>
        <v/>
      </c>
      <c r="P316" s="9" t="str">
        <f t="shared" si="7"/>
        <v/>
      </c>
      <c r="Q316" s="9" t="str">
        <f t="shared" si="8"/>
        <v/>
      </c>
      <c r="R316" s="9" t="str">
        <f t="shared" si="9"/>
        <v/>
      </c>
    </row>
    <row r="317">
      <c r="A317" s="1" t="str">
        <f t="shared" si="1"/>
        <v/>
      </c>
      <c r="G317" s="9" t="str">
        <f>IFERROR(__xludf.DUMMYFUNCTION("IF(B317="""","""",ROUND(XLOOKUP(B317, FLATTEN(B$1:E316), FLATTEN(O$1:R316), 500, 0, -1)))"),"")</f>
        <v/>
      </c>
      <c r="H317" s="9" t="str">
        <f>IFERROR(__xludf.DUMMYFUNCTION("IF(C317="""","""",ROUND(XLOOKUP(C317, FLATTEN(B$1:E316), FLATTEN(O$1:R316), 500, 0, -1)))"),"")</f>
        <v/>
      </c>
      <c r="I317" s="9" t="str">
        <f>IFERROR(__xludf.DUMMYFUNCTION("IF(D317="""","""",ROUND(XLOOKUP(D317, FLATTEN(B$1:E316), FLATTEN(O$1:R316), 500, 0, -1)))"),"")</f>
        <v/>
      </c>
      <c r="J317" s="9" t="str">
        <f>IFERROR(__xludf.DUMMYFUNCTION("IF(E317="""","""",ROUND(XLOOKUP(E317, FLATTEN(B$1:E316), FLATTEN(O$1:R316), 500, 0, -1)))"),"")</f>
        <v/>
      </c>
      <c r="K317" s="9" t="str">
        <f t="shared" si="2"/>
        <v/>
      </c>
      <c r="L317" s="9" t="str">
        <f t="shared" si="3"/>
        <v/>
      </c>
      <c r="M317" s="32" t="str">
        <f t="shared" si="4"/>
        <v/>
      </c>
      <c r="N317" s="9" t="str">
        <f t="shared" si="5"/>
        <v/>
      </c>
      <c r="O317" s="9" t="str">
        <f t="shared" si="6"/>
        <v/>
      </c>
      <c r="P317" s="9" t="str">
        <f t="shared" si="7"/>
        <v/>
      </c>
      <c r="Q317" s="9" t="str">
        <f t="shared" si="8"/>
        <v/>
      </c>
      <c r="R317" s="9" t="str">
        <f t="shared" si="9"/>
        <v/>
      </c>
    </row>
    <row r="318">
      <c r="A318" s="1" t="str">
        <f t="shared" si="1"/>
        <v/>
      </c>
      <c r="G318" s="9" t="str">
        <f>IFERROR(__xludf.DUMMYFUNCTION("IF(B318="""","""",ROUND(XLOOKUP(B318, FLATTEN(B$1:E317), FLATTEN(O$1:R317), 500, 0, -1)))"),"")</f>
        <v/>
      </c>
      <c r="H318" s="9" t="str">
        <f>IFERROR(__xludf.DUMMYFUNCTION("IF(C318="""","""",ROUND(XLOOKUP(C318, FLATTEN(B$1:E317), FLATTEN(O$1:R317), 500, 0, -1)))"),"")</f>
        <v/>
      </c>
      <c r="I318" s="9" t="str">
        <f>IFERROR(__xludf.DUMMYFUNCTION("IF(D318="""","""",ROUND(XLOOKUP(D318, FLATTEN(B$1:E317), FLATTEN(O$1:R317), 500, 0, -1)))"),"")</f>
        <v/>
      </c>
      <c r="J318" s="9" t="str">
        <f>IFERROR(__xludf.DUMMYFUNCTION("IF(E318="""","""",ROUND(XLOOKUP(E318, FLATTEN(B$1:E317), FLATTEN(O$1:R317), 500, 0, -1)))"),"")</f>
        <v/>
      </c>
      <c r="K318" s="9" t="str">
        <f t="shared" si="2"/>
        <v/>
      </c>
      <c r="L318" s="9" t="str">
        <f t="shared" si="3"/>
        <v/>
      </c>
      <c r="M318" s="32" t="str">
        <f t="shared" si="4"/>
        <v/>
      </c>
      <c r="N318" s="9" t="str">
        <f t="shared" si="5"/>
        <v/>
      </c>
      <c r="O318" s="9" t="str">
        <f t="shared" si="6"/>
        <v/>
      </c>
      <c r="P318" s="9" t="str">
        <f t="shared" si="7"/>
        <v/>
      </c>
      <c r="Q318" s="9" t="str">
        <f t="shared" si="8"/>
        <v/>
      </c>
      <c r="R318" s="9" t="str">
        <f t="shared" si="9"/>
        <v/>
      </c>
    </row>
    <row r="319">
      <c r="A319" s="1" t="str">
        <f t="shared" si="1"/>
        <v/>
      </c>
      <c r="G319" s="9" t="str">
        <f>IFERROR(__xludf.DUMMYFUNCTION("IF(B319="""","""",ROUND(XLOOKUP(B319, FLATTEN(B$1:E318), FLATTEN(O$1:R318), 500, 0, -1)))"),"")</f>
        <v/>
      </c>
      <c r="H319" s="9" t="str">
        <f>IFERROR(__xludf.DUMMYFUNCTION("IF(C319="""","""",ROUND(XLOOKUP(C319, FLATTEN(B$1:E318), FLATTEN(O$1:R318), 500, 0, -1)))"),"")</f>
        <v/>
      </c>
      <c r="I319" s="9" t="str">
        <f>IFERROR(__xludf.DUMMYFUNCTION("IF(D319="""","""",ROUND(XLOOKUP(D319, FLATTEN(B$1:E318), FLATTEN(O$1:R318), 500, 0, -1)))"),"")</f>
        <v/>
      </c>
      <c r="J319" s="9" t="str">
        <f>IFERROR(__xludf.DUMMYFUNCTION("IF(E319="""","""",ROUND(XLOOKUP(E319, FLATTEN(B$1:E318), FLATTEN(O$1:R318), 500, 0, -1)))"),"")</f>
        <v/>
      </c>
      <c r="K319" s="9" t="str">
        <f t="shared" si="2"/>
        <v/>
      </c>
      <c r="L319" s="9" t="str">
        <f t="shared" si="3"/>
        <v/>
      </c>
      <c r="M319" s="32" t="str">
        <f t="shared" si="4"/>
        <v/>
      </c>
      <c r="N319" s="9" t="str">
        <f t="shared" si="5"/>
        <v/>
      </c>
      <c r="O319" s="9" t="str">
        <f t="shared" si="6"/>
        <v/>
      </c>
      <c r="P319" s="9" t="str">
        <f t="shared" si="7"/>
        <v/>
      </c>
      <c r="Q319" s="9" t="str">
        <f t="shared" si="8"/>
        <v/>
      </c>
      <c r="R319" s="9" t="str">
        <f t="shared" si="9"/>
        <v/>
      </c>
    </row>
    <row r="320">
      <c r="A320" s="1" t="str">
        <f t="shared" si="1"/>
        <v/>
      </c>
      <c r="G320" s="9" t="str">
        <f>IFERROR(__xludf.DUMMYFUNCTION("IF(B320="""","""",ROUND(XLOOKUP(B320, FLATTEN(B$1:E319), FLATTEN(O$1:R319), 500, 0, -1)))"),"")</f>
        <v/>
      </c>
      <c r="H320" s="9" t="str">
        <f>IFERROR(__xludf.DUMMYFUNCTION("IF(C320="""","""",ROUND(XLOOKUP(C320, FLATTEN(B$1:E319), FLATTEN(O$1:R319), 500, 0, -1)))"),"")</f>
        <v/>
      </c>
      <c r="I320" s="9" t="str">
        <f>IFERROR(__xludf.DUMMYFUNCTION("IF(D320="""","""",ROUND(XLOOKUP(D320, FLATTEN(B$1:E319), FLATTEN(O$1:R319), 500, 0, -1)))"),"")</f>
        <v/>
      </c>
      <c r="J320" s="9" t="str">
        <f>IFERROR(__xludf.DUMMYFUNCTION("IF(E320="""","""",ROUND(XLOOKUP(E320, FLATTEN(B$1:E319), FLATTEN(O$1:R319), 500, 0, -1)))"),"")</f>
        <v/>
      </c>
      <c r="K320" s="9" t="str">
        <f t="shared" si="2"/>
        <v/>
      </c>
      <c r="L320" s="9" t="str">
        <f t="shared" si="3"/>
        <v/>
      </c>
      <c r="M320" s="32" t="str">
        <f t="shared" si="4"/>
        <v/>
      </c>
      <c r="N320" s="9" t="str">
        <f t="shared" si="5"/>
        <v/>
      </c>
      <c r="O320" s="9" t="str">
        <f t="shared" si="6"/>
        <v/>
      </c>
      <c r="P320" s="9" t="str">
        <f t="shared" si="7"/>
        <v/>
      </c>
      <c r="Q320" s="9" t="str">
        <f t="shared" si="8"/>
        <v/>
      </c>
      <c r="R320" s="9" t="str">
        <f t="shared" si="9"/>
        <v/>
      </c>
    </row>
    <row r="321">
      <c r="A321" s="1" t="str">
        <f t="shared" si="1"/>
        <v/>
      </c>
      <c r="G321" s="9" t="str">
        <f>IFERROR(__xludf.DUMMYFUNCTION("IF(B321="""","""",ROUND(XLOOKUP(B321, FLATTEN(B$1:E320), FLATTEN(O$1:R320), 500, 0, -1)))"),"")</f>
        <v/>
      </c>
      <c r="H321" s="9" t="str">
        <f>IFERROR(__xludf.DUMMYFUNCTION("IF(C321="""","""",ROUND(XLOOKUP(C321, FLATTEN(B$1:E320), FLATTEN(O$1:R320), 500, 0, -1)))"),"")</f>
        <v/>
      </c>
      <c r="I321" s="9" t="str">
        <f>IFERROR(__xludf.DUMMYFUNCTION("IF(D321="""","""",ROUND(XLOOKUP(D321, FLATTEN(B$1:E320), FLATTEN(O$1:R320), 500, 0, -1)))"),"")</f>
        <v/>
      </c>
      <c r="J321" s="9" t="str">
        <f>IFERROR(__xludf.DUMMYFUNCTION("IF(E321="""","""",ROUND(XLOOKUP(E321, FLATTEN(B$1:E320), FLATTEN(O$1:R320), 500, 0, -1)))"),"")</f>
        <v/>
      </c>
      <c r="K321" s="9" t="str">
        <f t="shared" si="2"/>
        <v/>
      </c>
      <c r="L321" s="9" t="str">
        <f t="shared" si="3"/>
        <v/>
      </c>
      <c r="M321" s="32" t="str">
        <f t="shared" si="4"/>
        <v/>
      </c>
      <c r="N321" s="9" t="str">
        <f t="shared" si="5"/>
        <v/>
      </c>
      <c r="O321" s="9" t="str">
        <f t="shared" si="6"/>
        <v/>
      </c>
      <c r="P321" s="9" t="str">
        <f t="shared" si="7"/>
        <v/>
      </c>
      <c r="Q321" s="9" t="str">
        <f t="shared" si="8"/>
        <v/>
      </c>
      <c r="R321" s="9" t="str">
        <f t="shared" si="9"/>
        <v/>
      </c>
    </row>
    <row r="322">
      <c r="A322" s="1" t="str">
        <f t="shared" si="1"/>
        <v/>
      </c>
      <c r="G322" s="9" t="str">
        <f>IFERROR(__xludf.DUMMYFUNCTION("IF(B322="""","""",ROUND(XLOOKUP(B322, FLATTEN(B$1:E321), FLATTEN(O$1:R321), 500, 0, -1)))"),"")</f>
        <v/>
      </c>
      <c r="H322" s="9" t="str">
        <f>IFERROR(__xludf.DUMMYFUNCTION("IF(C322="""","""",ROUND(XLOOKUP(C322, FLATTEN(B$1:E321), FLATTEN(O$1:R321), 500, 0, -1)))"),"")</f>
        <v/>
      </c>
      <c r="I322" s="9" t="str">
        <f>IFERROR(__xludf.DUMMYFUNCTION("IF(D322="""","""",ROUND(XLOOKUP(D322, FLATTEN(B$1:E321), FLATTEN(O$1:R321), 500, 0, -1)))"),"")</f>
        <v/>
      </c>
      <c r="J322" s="9" t="str">
        <f>IFERROR(__xludf.DUMMYFUNCTION("IF(E322="""","""",ROUND(XLOOKUP(E322, FLATTEN(B$1:E321), FLATTEN(O$1:R321), 500, 0, -1)))"),"")</f>
        <v/>
      </c>
      <c r="K322" s="9" t="str">
        <f t="shared" si="2"/>
        <v/>
      </c>
      <c r="L322" s="9" t="str">
        <f t="shared" si="3"/>
        <v/>
      </c>
      <c r="M322" s="32" t="str">
        <f t="shared" si="4"/>
        <v/>
      </c>
      <c r="N322" s="9" t="str">
        <f t="shared" si="5"/>
        <v/>
      </c>
      <c r="O322" s="9" t="str">
        <f t="shared" si="6"/>
        <v/>
      </c>
      <c r="P322" s="9" t="str">
        <f t="shared" si="7"/>
        <v/>
      </c>
      <c r="Q322" s="9" t="str">
        <f t="shared" si="8"/>
        <v/>
      </c>
      <c r="R322" s="9" t="str">
        <f t="shared" si="9"/>
        <v/>
      </c>
    </row>
    <row r="323">
      <c r="A323" s="1" t="str">
        <f t="shared" si="1"/>
        <v/>
      </c>
      <c r="G323" s="9" t="str">
        <f>IFERROR(__xludf.DUMMYFUNCTION("IF(B323="""","""",ROUND(XLOOKUP(B323, FLATTEN(B$1:E322), FLATTEN(O$1:R322), 500, 0, -1)))"),"")</f>
        <v/>
      </c>
      <c r="H323" s="9" t="str">
        <f>IFERROR(__xludf.DUMMYFUNCTION("IF(C323="""","""",ROUND(XLOOKUP(C323, FLATTEN(B$1:E322), FLATTEN(O$1:R322), 500, 0, -1)))"),"")</f>
        <v/>
      </c>
      <c r="I323" s="9" t="str">
        <f>IFERROR(__xludf.DUMMYFUNCTION("IF(D323="""","""",ROUND(XLOOKUP(D323, FLATTEN(B$1:E322), FLATTEN(O$1:R322), 500, 0, -1)))"),"")</f>
        <v/>
      </c>
      <c r="J323" s="9" t="str">
        <f>IFERROR(__xludf.DUMMYFUNCTION("IF(E323="""","""",ROUND(XLOOKUP(E323, FLATTEN(B$1:E322), FLATTEN(O$1:R322), 500, 0, -1)))"),"")</f>
        <v/>
      </c>
      <c r="K323" s="9" t="str">
        <f t="shared" si="2"/>
        <v/>
      </c>
      <c r="L323" s="9" t="str">
        <f t="shared" si="3"/>
        <v/>
      </c>
      <c r="M323" s="32" t="str">
        <f t="shared" si="4"/>
        <v/>
      </c>
      <c r="N323" s="9" t="str">
        <f t="shared" si="5"/>
        <v/>
      </c>
      <c r="O323" s="9" t="str">
        <f t="shared" si="6"/>
        <v/>
      </c>
      <c r="P323" s="9" t="str">
        <f t="shared" si="7"/>
        <v/>
      </c>
      <c r="Q323" s="9" t="str">
        <f t="shared" si="8"/>
        <v/>
      </c>
      <c r="R323" s="9" t="str">
        <f t="shared" si="9"/>
        <v/>
      </c>
    </row>
    <row r="324">
      <c r="A324" s="1" t="str">
        <f t="shared" si="1"/>
        <v/>
      </c>
      <c r="G324" s="9" t="str">
        <f>IFERROR(__xludf.DUMMYFUNCTION("IF(B324="""","""",ROUND(XLOOKUP(B324, FLATTEN(B$1:E323), FLATTEN(O$1:R323), 500, 0, -1)))"),"")</f>
        <v/>
      </c>
      <c r="H324" s="9" t="str">
        <f>IFERROR(__xludf.DUMMYFUNCTION("IF(C324="""","""",ROUND(XLOOKUP(C324, FLATTEN(B$1:E323), FLATTEN(O$1:R323), 500, 0, -1)))"),"")</f>
        <v/>
      </c>
      <c r="I324" s="9" t="str">
        <f>IFERROR(__xludf.DUMMYFUNCTION("IF(D324="""","""",ROUND(XLOOKUP(D324, FLATTEN(B$1:E323), FLATTEN(O$1:R323), 500, 0, -1)))"),"")</f>
        <v/>
      </c>
      <c r="J324" s="9" t="str">
        <f>IFERROR(__xludf.DUMMYFUNCTION("IF(E324="""","""",ROUND(XLOOKUP(E324, FLATTEN(B$1:E323), FLATTEN(O$1:R323), 500, 0, -1)))"),"")</f>
        <v/>
      </c>
      <c r="K324" s="9" t="str">
        <f t="shared" si="2"/>
        <v/>
      </c>
      <c r="L324" s="9" t="str">
        <f t="shared" si="3"/>
        <v/>
      </c>
      <c r="M324" s="32" t="str">
        <f t="shared" si="4"/>
        <v/>
      </c>
      <c r="N324" s="9" t="str">
        <f t="shared" si="5"/>
        <v/>
      </c>
      <c r="O324" s="9" t="str">
        <f t="shared" si="6"/>
        <v/>
      </c>
      <c r="P324" s="9" t="str">
        <f t="shared" si="7"/>
        <v/>
      </c>
      <c r="Q324" s="9" t="str">
        <f t="shared" si="8"/>
        <v/>
      </c>
      <c r="R324" s="9" t="str">
        <f t="shared" si="9"/>
        <v/>
      </c>
    </row>
    <row r="325">
      <c r="A325" s="1" t="str">
        <f t="shared" si="1"/>
        <v/>
      </c>
      <c r="G325" s="9" t="str">
        <f>IFERROR(__xludf.DUMMYFUNCTION("IF(B325="""","""",ROUND(XLOOKUP(B325, FLATTEN(B$1:E324), FLATTEN(O$1:R324), 500, 0, -1)))"),"")</f>
        <v/>
      </c>
      <c r="H325" s="9" t="str">
        <f>IFERROR(__xludf.DUMMYFUNCTION("IF(C325="""","""",ROUND(XLOOKUP(C325, FLATTEN(B$1:E324), FLATTEN(O$1:R324), 500, 0, -1)))"),"")</f>
        <v/>
      </c>
      <c r="I325" s="9" t="str">
        <f>IFERROR(__xludf.DUMMYFUNCTION("IF(D325="""","""",ROUND(XLOOKUP(D325, FLATTEN(B$1:E324), FLATTEN(O$1:R324), 500, 0, -1)))"),"")</f>
        <v/>
      </c>
      <c r="J325" s="9" t="str">
        <f>IFERROR(__xludf.DUMMYFUNCTION("IF(E325="""","""",ROUND(XLOOKUP(E325, FLATTEN(B$1:E324), FLATTEN(O$1:R324), 500, 0, -1)))"),"")</f>
        <v/>
      </c>
      <c r="K325" s="9" t="str">
        <f t="shared" si="2"/>
        <v/>
      </c>
      <c r="L325" s="9" t="str">
        <f t="shared" si="3"/>
        <v/>
      </c>
      <c r="M325" s="32" t="str">
        <f t="shared" si="4"/>
        <v/>
      </c>
      <c r="N325" s="9" t="str">
        <f t="shared" si="5"/>
        <v/>
      </c>
      <c r="O325" s="9" t="str">
        <f t="shared" si="6"/>
        <v/>
      </c>
      <c r="P325" s="9" t="str">
        <f t="shared" si="7"/>
        <v/>
      </c>
      <c r="Q325" s="9" t="str">
        <f t="shared" si="8"/>
        <v/>
      </c>
      <c r="R325" s="9" t="str">
        <f t="shared" si="9"/>
        <v/>
      </c>
    </row>
    <row r="326">
      <c r="A326" s="1" t="str">
        <f t="shared" si="1"/>
        <v/>
      </c>
      <c r="G326" s="9" t="str">
        <f>IFERROR(__xludf.DUMMYFUNCTION("IF(B326="""","""",ROUND(XLOOKUP(B326, FLATTEN(B$1:E325), FLATTEN(O$1:R325), 500, 0, -1)))"),"")</f>
        <v/>
      </c>
      <c r="H326" s="9" t="str">
        <f>IFERROR(__xludf.DUMMYFUNCTION("IF(C326="""","""",ROUND(XLOOKUP(C326, FLATTEN(B$1:E325), FLATTEN(O$1:R325), 500, 0, -1)))"),"")</f>
        <v/>
      </c>
      <c r="I326" s="9" t="str">
        <f>IFERROR(__xludf.DUMMYFUNCTION("IF(D326="""","""",ROUND(XLOOKUP(D326, FLATTEN(B$1:E325), FLATTEN(O$1:R325), 500, 0, -1)))"),"")</f>
        <v/>
      </c>
      <c r="J326" s="9" t="str">
        <f>IFERROR(__xludf.DUMMYFUNCTION("IF(E326="""","""",ROUND(XLOOKUP(E326, FLATTEN(B$1:E325), FLATTEN(O$1:R325), 500, 0, -1)))"),"")</f>
        <v/>
      </c>
      <c r="K326" s="9" t="str">
        <f t="shared" si="2"/>
        <v/>
      </c>
      <c r="L326" s="9" t="str">
        <f t="shared" si="3"/>
        <v/>
      </c>
      <c r="M326" s="32" t="str">
        <f t="shared" si="4"/>
        <v/>
      </c>
      <c r="N326" s="9" t="str">
        <f t="shared" si="5"/>
        <v/>
      </c>
      <c r="O326" s="9" t="str">
        <f t="shared" si="6"/>
        <v/>
      </c>
      <c r="P326" s="9" t="str">
        <f t="shared" si="7"/>
        <v/>
      </c>
      <c r="Q326" s="9" t="str">
        <f t="shared" si="8"/>
        <v/>
      </c>
      <c r="R326" s="9" t="str">
        <f t="shared" si="9"/>
        <v/>
      </c>
    </row>
    <row r="327">
      <c r="A327" s="1" t="str">
        <f t="shared" si="1"/>
        <v/>
      </c>
      <c r="G327" s="9" t="str">
        <f>IFERROR(__xludf.DUMMYFUNCTION("IF(B327="""","""",ROUND(XLOOKUP(B327, FLATTEN(B$1:E326), FLATTEN(O$1:R326), 500, 0, -1)))"),"")</f>
        <v/>
      </c>
      <c r="H327" s="9" t="str">
        <f>IFERROR(__xludf.DUMMYFUNCTION("IF(C327="""","""",ROUND(XLOOKUP(C327, FLATTEN(B$1:E326), FLATTEN(O$1:R326), 500, 0, -1)))"),"")</f>
        <v/>
      </c>
      <c r="I327" s="9" t="str">
        <f>IFERROR(__xludf.DUMMYFUNCTION("IF(D327="""","""",ROUND(XLOOKUP(D327, FLATTEN(B$1:E326), FLATTEN(O$1:R326), 500, 0, -1)))"),"")</f>
        <v/>
      </c>
      <c r="J327" s="9" t="str">
        <f>IFERROR(__xludf.DUMMYFUNCTION("IF(E327="""","""",ROUND(XLOOKUP(E327, FLATTEN(B$1:E326), FLATTEN(O$1:R326), 500, 0, -1)))"),"")</f>
        <v/>
      </c>
      <c r="K327" s="9" t="str">
        <f t="shared" si="2"/>
        <v/>
      </c>
      <c r="L327" s="9" t="str">
        <f t="shared" si="3"/>
        <v/>
      </c>
      <c r="M327" s="32" t="str">
        <f t="shared" si="4"/>
        <v/>
      </c>
      <c r="N327" s="9" t="str">
        <f t="shared" si="5"/>
        <v/>
      </c>
      <c r="O327" s="9" t="str">
        <f t="shared" si="6"/>
        <v/>
      </c>
      <c r="P327" s="9" t="str">
        <f t="shared" si="7"/>
        <v/>
      </c>
      <c r="Q327" s="9" t="str">
        <f t="shared" si="8"/>
        <v/>
      </c>
      <c r="R327" s="9" t="str">
        <f t="shared" si="9"/>
        <v/>
      </c>
    </row>
    <row r="328">
      <c r="A328" s="1" t="str">
        <f t="shared" si="1"/>
        <v/>
      </c>
      <c r="G328" s="9" t="str">
        <f>IFERROR(__xludf.DUMMYFUNCTION("IF(B328="""","""",ROUND(XLOOKUP(B328, FLATTEN(B$1:E327), FLATTEN(O$1:R327), 500, 0, -1)))"),"")</f>
        <v/>
      </c>
      <c r="H328" s="9" t="str">
        <f>IFERROR(__xludf.DUMMYFUNCTION("IF(C328="""","""",ROUND(XLOOKUP(C328, FLATTEN(B$1:E327), FLATTEN(O$1:R327), 500, 0, -1)))"),"")</f>
        <v/>
      </c>
      <c r="I328" s="9" t="str">
        <f>IFERROR(__xludf.DUMMYFUNCTION("IF(D328="""","""",ROUND(XLOOKUP(D328, FLATTEN(B$1:E327), FLATTEN(O$1:R327), 500, 0, -1)))"),"")</f>
        <v/>
      </c>
      <c r="J328" s="9" t="str">
        <f>IFERROR(__xludf.DUMMYFUNCTION("IF(E328="""","""",ROUND(XLOOKUP(E328, FLATTEN(B$1:E327), FLATTEN(O$1:R327), 500, 0, -1)))"),"")</f>
        <v/>
      </c>
      <c r="K328" s="9" t="str">
        <f t="shared" si="2"/>
        <v/>
      </c>
      <c r="L328" s="9" t="str">
        <f t="shared" si="3"/>
        <v/>
      </c>
      <c r="M328" s="32" t="str">
        <f t="shared" si="4"/>
        <v/>
      </c>
      <c r="N328" s="9" t="str">
        <f t="shared" si="5"/>
        <v/>
      </c>
      <c r="O328" s="9" t="str">
        <f t="shared" si="6"/>
        <v/>
      </c>
      <c r="P328" s="9" t="str">
        <f t="shared" si="7"/>
        <v/>
      </c>
      <c r="Q328" s="9" t="str">
        <f t="shared" si="8"/>
        <v/>
      </c>
      <c r="R328" s="9" t="str">
        <f t="shared" si="9"/>
        <v/>
      </c>
    </row>
    <row r="329">
      <c r="A329" s="1" t="str">
        <f t="shared" si="1"/>
        <v/>
      </c>
      <c r="G329" s="9" t="str">
        <f>IFERROR(__xludf.DUMMYFUNCTION("IF(B329="""","""",ROUND(XLOOKUP(B329, FLATTEN(B$1:E328), FLATTEN(O$1:R328), 500, 0, -1)))"),"")</f>
        <v/>
      </c>
      <c r="H329" s="9" t="str">
        <f>IFERROR(__xludf.DUMMYFUNCTION("IF(C329="""","""",ROUND(XLOOKUP(C329, FLATTEN(B$1:E328), FLATTEN(O$1:R328), 500, 0, -1)))"),"")</f>
        <v/>
      </c>
      <c r="I329" s="9" t="str">
        <f>IFERROR(__xludf.DUMMYFUNCTION("IF(D329="""","""",ROUND(XLOOKUP(D329, FLATTEN(B$1:E328), FLATTEN(O$1:R328), 500, 0, -1)))"),"")</f>
        <v/>
      </c>
      <c r="J329" s="9" t="str">
        <f>IFERROR(__xludf.DUMMYFUNCTION("IF(E329="""","""",ROUND(XLOOKUP(E329, FLATTEN(B$1:E328), FLATTEN(O$1:R328), 500, 0, -1)))"),"")</f>
        <v/>
      </c>
      <c r="K329" s="9" t="str">
        <f t="shared" si="2"/>
        <v/>
      </c>
      <c r="L329" s="9" t="str">
        <f t="shared" si="3"/>
        <v/>
      </c>
      <c r="M329" s="32" t="str">
        <f t="shared" si="4"/>
        <v/>
      </c>
      <c r="N329" s="9" t="str">
        <f t="shared" si="5"/>
        <v/>
      </c>
      <c r="O329" s="9" t="str">
        <f t="shared" si="6"/>
        <v/>
      </c>
      <c r="P329" s="9" t="str">
        <f t="shared" si="7"/>
        <v/>
      </c>
      <c r="Q329" s="9" t="str">
        <f t="shared" si="8"/>
        <v/>
      </c>
      <c r="R329" s="9" t="str">
        <f t="shared" si="9"/>
        <v/>
      </c>
    </row>
    <row r="330">
      <c r="A330" s="1" t="str">
        <f t="shared" si="1"/>
        <v/>
      </c>
      <c r="G330" s="9" t="str">
        <f>IFERROR(__xludf.DUMMYFUNCTION("IF(B330="""","""",ROUND(XLOOKUP(B330, FLATTEN(B$1:E329), FLATTEN(O$1:R329), 500, 0, -1)))"),"")</f>
        <v/>
      </c>
      <c r="H330" s="9" t="str">
        <f>IFERROR(__xludf.DUMMYFUNCTION("IF(C330="""","""",ROUND(XLOOKUP(C330, FLATTEN(B$1:E329), FLATTEN(O$1:R329), 500, 0, -1)))"),"")</f>
        <v/>
      </c>
      <c r="I330" s="9" t="str">
        <f>IFERROR(__xludf.DUMMYFUNCTION("IF(D330="""","""",ROUND(XLOOKUP(D330, FLATTEN(B$1:E329), FLATTEN(O$1:R329), 500, 0, -1)))"),"")</f>
        <v/>
      </c>
      <c r="J330" s="9" t="str">
        <f>IFERROR(__xludf.DUMMYFUNCTION("IF(E330="""","""",ROUND(XLOOKUP(E330, FLATTEN(B$1:E329), FLATTEN(O$1:R329), 500, 0, -1)))"),"")</f>
        <v/>
      </c>
      <c r="K330" s="9" t="str">
        <f t="shared" si="2"/>
        <v/>
      </c>
      <c r="L330" s="9" t="str">
        <f t="shared" si="3"/>
        <v/>
      </c>
      <c r="M330" s="32" t="str">
        <f t="shared" si="4"/>
        <v/>
      </c>
      <c r="N330" s="9" t="str">
        <f t="shared" si="5"/>
        <v/>
      </c>
      <c r="O330" s="9" t="str">
        <f t="shared" si="6"/>
        <v/>
      </c>
      <c r="P330" s="9" t="str">
        <f t="shared" si="7"/>
        <v/>
      </c>
      <c r="Q330" s="9" t="str">
        <f t="shared" si="8"/>
        <v/>
      </c>
      <c r="R330" s="9" t="str">
        <f t="shared" si="9"/>
        <v/>
      </c>
    </row>
    <row r="331">
      <c r="A331" s="1" t="str">
        <f t="shared" si="1"/>
        <v/>
      </c>
      <c r="G331" s="9" t="str">
        <f>IFERROR(__xludf.DUMMYFUNCTION("IF(B331="""","""",ROUND(XLOOKUP(B331, FLATTEN(B$1:E330), FLATTEN(O$1:R330), 500, 0, -1)))"),"")</f>
        <v/>
      </c>
      <c r="H331" s="9" t="str">
        <f>IFERROR(__xludf.DUMMYFUNCTION("IF(C331="""","""",ROUND(XLOOKUP(C331, FLATTEN(B$1:E330), FLATTEN(O$1:R330), 500, 0, -1)))"),"")</f>
        <v/>
      </c>
      <c r="I331" s="9" t="str">
        <f>IFERROR(__xludf.DUMMYFUNCTION("IF(D331="""","""",ROUND(XLOOKUP(D331, FLATTEN(B$1:E330), FLATTEN(O$1:R330), 500, 0, -1)))"),"")</f>
        <v/>
      </c>
      <c r="J331" s="9" t="str">
        <f>IFERROR(__xludf.DUMMYFUNCTION("IF(E331="""","""",ROUND(XLOOKUP(E331, FLATTEN(B$1:E330), FLATTEN(O$1:R330), 500, 0, -1)))"),"")</f>
        <v/>
      </c>
      <c r="K331" s="9" t="str">
        <f t="shared" si="2"/>
        <v/>
      </c>
      <c r="L331" s="9" t="str">
        <f t="shared" si="3"/>
        <v/>
      </c>
      <c r="M331" s="32" t="str">
        <f t="shared" si="4"/>
        <v/>
      </c>
      <c r="N331" s="9" t="str">
        <f t="shared" si="5"/>
        <v/>
      </c>
      <c r="O331" s="9" t="str">
        <f t="shared" si="6"/>
        <v/>
      </c>
      <c r="P331" s="9" t="str">
        <f t="shared" si="7"/>
        <v/>
      </c>
      <c r="Q331" s="9" t="str">
        <f t="shared" si="8"/>
        <v/>
      </c>
      <c r="R331" s="9" t="str">
        <f t="shared" si="9"/>
        <v/>
      </c>
    </row>
    <row r="332">
      <c r="A332" s="1" t="str">
        <f t="shared" si="1"/>
        <v/>
      </c>
      <c r="G332" s="9" t="str">
        <f>IFERROR(__xludf.DUMMYFUNCTION("IF(B332="""","""",ROUND(XLOOKUP(B332, FLATTEN(B$1:E331), FLATTEN(O$1:R331), 500, 0, -1)))"),"")</f>
        <v/>
      </c>
      <c r="H332" s="9" t="str">
        <f>IFERROR(__xludf.DUMMYFUNCTION("IF(C332="""","""",ROUND(XLOOKUP(C332, FLATTEN(B$1:E331), FLATTEN(O$1:R331), 500, 0, -1)))"),"")</f>
        <v/>
      </c>
      <c r="I332" s="9" t="str">
        <f>IFERROR(__xludf.DUMMYFUNCTION("IF(D332="""","""",ROUND(XLOOKUP(D332, FLATTEN(B$1:E331), FLATTEN(O$1:R331), 500, 0, -1)))"),"")</f>
        <v/>
      </c>
      <c r="J332" s="9" t="str">
        <f>IFERROR(__xludf.DUMMYFUNCTION("IF(E332="""","""",ROUND(XLOOKUP(E332, FLATTEN(B$1:E331), FLATTEN(O$1:R331), 500, 0, -1)))"),"")</f>
        <v/>
      </c>
      <c r="K332" s="9" t="str">
        <f t="shared" si="2"/>
        <v/>
      </c>
      <c r="L332" s="9" t="str">
        <f t="shared" si="3"/>
        <v/>
      </c>
      <c r="M332" s="32" t="str">
        <f t="shared" si="4"/>
        <v/>
      </c>
      <c r="N332" s="9" t="str">
        <f t="shared" si="5"/>
        <v/>
      </c>
      <c r="O332" s="9" t="str">
        <f t="shared" si="6"/>
        <v/>
      </c>
      <c r="P332" s="9" t="str">
        <f t="shared" si="7"/>
        <v/>
      </c>
      <c r="Q332" s="9" t="str">
        <f t="shared" si="8"/>
        <v/>
      </c>
      <c r="R332" s="9" t="str">
        <f t="shared" si="9"/>
        <v/>
      </c>
    </row>
    <row r="333">
      <c r="A333" s="1" t="str">
        <f t="shared" si="1"/>
        <v/>
      </c>
      <c r="G333" s="9" t="str">
        <f>IFERROR(__xludf.DUMMYFUNCTION("IF(B333="""","""",ROUND(XLOOKUP(B333, FLATTEN(B$1:E332), FLATTEN(O$1:R332), 500, 0, -1)))"),"")</f>
        <v/>
      </c>
      <c r="H333" s="9" t="str">
        <f>IFERROR(__xludf.DUMMYFUNCTION("IF(C333="""","""",ROUND(XLOOKUP(C333, FLATTEN(B$1:E332), FLATTEN(O$1:R332), 500, 0, -1)))"),"")</f>
        <v/>
      </c>
      <c r="I333" s="9" t="str">
        <f>IFERROR(__xludf.DUMMYFUNCTION("IF(D333="""","""",ROUND(XLOOKUP(D333, FLATTEN(B$1:E332), FLATTEN(O$1:R332), 500, 0, -1)))"),"")</f>
        <v/>
      </c>
      <c r="J333" s="9" t="str">
        <f>IFERROR(__xludf.DUMMYFUNCTION("IF(E333="""","""",ROUND(XLOOKUP(E333, FLATTEN(B$1:E332), FLATTEN(O$1:R332), 500, 0, -1)))"),"")</f>
        <v/>
      </c>
      <c r="K333" s="9" t="str">
        <f t="shared" si="2"/>
        <v/>
      </c>
      <c r="L333" s="9" t="str">
        <f t="shared" si="3"/>
        <v/>
      </c>
      <c r="M333" s="32" t="str">
        <f t="shared" si="4"/>
        <v/>
      </c>
      <c r="N333" s="9" t="str">
        <f t="shared" si="5"/>
        <v/>
      </c>
      <c r="O333" s="9" t="str">
        <f t="shared" si="6"/>
        <v/>
      </c>
      <c r="P333" s="9" t="str">
        <f t="shared" si="7"/>
        <v/>
      </c>
      <c r="Q333" s="9" t="str">
        <f t="shared" si="8"/>
        <v/>
      </c>
      <c r="R333" s="9" t="str">
        <f t="shared" si="9"/>
        <v/>
      </c>
    </row>
    <row r="334">
      <c r="A334" s="1" t="str">
        <f t="shared" si="1"/>
        <v/>
      </c>
      <c r="G334" s="9" t="str">
        <f>IFERROR(__xludf.DUMMYFUNCTION("IF(B334="""","""",ROUND(XLOOKUP(B334, FLATTEN(B$1:E333), FLATTEN(O$1:R333), 500, 0, -1)))"),"")</f>
        <v/>
      </c>
      <c r="H334" s="9" t="str">
        <f>IFERROR(__xludf.DUMMYFUNCTION("IF(C334="""","""",ROUND(XLOOKUP(C334, FLATTEN(B$1:E333), FLATTEN(O$1:R333), 500, 0, -1)))"),"")</f>
        <v/>
      </c>
      <c r="I334" s="9" t="str">
        <f>IFERROR(__xludf.DUMMYFUNCTION("IF(D334="""","""",ROUND(XLOOKUP(D334, FLATTEN(B$1:E333), FLATTEN(O$1:R333), 500, 0, -1)))"),"")</f>
        <v/>
      </c>
      <c r="J334" s="9" t="str">
        <f>IFERROR(__xludf.DUMMYFUNCTION("IF(E334="""","""",ROUND(XLOOKUP(E334, FLATTEN(B$1:E333), FLATTEN(O$1:R333), 500, 0, -1)))"),"")</f>
        <v/>
      </c>
      <c r="K334" s="9" t="str">
        <f t="shared" si="2"/>
        <v/>
      </c>
      <c r="L334" s="9" t="str">
        <f t="shared" si="3"/>
        <v/>
      </c>
      <c r="M334" s="32" t="str">
        <f t="shared" si="4"/>
        <v/>
      </c>
      <c r="N334" s="9" t="str">
        <f t="shared" si="5"/>
        <v/>
      </c>
      <c r="O334" s="9" t="str">
        <f t="shared" si="6"/>
        <v/>
      </c>
      <c r="P334" s="9" t="str">
        <f t="shared" si="7"/>
        <v/>
      </c>
      <c r="Q334" s="9" t="str">
        <f t="shared" si="8"/>
        <v/>
      </c>
      <c r="R334" s="9" t="str">
        <f t="shared" si="9"/>
        <v/>
      </c>
    </row>
    <row r="335">
      <c r="A335" s="1" t="str">
        <f t="shared" si="1"/>
        <v/>
      </c>
      <c r="G335" s="9" t="str">
        <f>IFERROR(__xludf.DUMMYFUNCTION("IF(B335="""","""",ROUND(XLOOKUP(B335, FLATTEN(B$1:E334), FLATTEN(O$1:R334), 500, 0, -1)))"),"")</f>
        <v/>
      </c>
      <c r="H335" s="9" t="str">
        <f>IFERROR(__xludf.DUMMYFUNCTION("IF(C335="""","""",ROUND(XLOOKUP(C335, FLATTEN(B$1:E334), FLATTEN(O$1:R334), 500, 0, -1)))"),"")</f>
        <v/>
      </c>
      <c r="I335" s="9" t="str">
        <f>IFERROR(__xludf.DUMMYFUNCTION("IF(D335="""","""",ROUND(XLOOKUP(D335, FLATTEN(B$1:E334), FLATTEN(O$1:R334), 500, 0, -1)))"),"")</f>
        <v/>
      </c>
      <c r="J335" s="9" t="str">
        <f>IFERROR(__xludf.DUMMYFUNCTION("IF(E335="""","""",ROUND(XLOOKUP(E335, FLATTEN(B$1:E334), FLATTEN(O$1:R334), 500, 0, -1)))"),"")</f>
        <v/>
      </c>
      <c r="K335" s="9" t="str">
        <f t="shared" si="2"/>
        <v/>
      </c>
      <c r="L335" s="9" t="str">
        <f t="shared" si="3"/>
        <v/>
      </c>
      <c r="M335" s="32" t="str">
        <f t="shared" si="4"/>
        <v/>
      </c>
      <c r="N335" s="9" t="str">
        <f t="shared" si="5"/>
        <v/>
      </c>
      <c r="O335" s="9" t="str">
        <f t="shared" si="6"/>
        <v/>
      </c>
      <c r="P335" s="9" t="str">
        <f t="shared" si="7"/>
        <v/>
      </c>
      <c r="Q335" s="9" t="str">
        <f t="shared" si="8"/>
        <v/>
      </c>
      <c r="R335" s="9" t="str">
        <f t="shared" si="9"/>
        <v/>
      </c>
    </row>
    <row r="336">
      <c r="A336" s="1" t="str">
        <f t="shared" si="1"/>
        <v/>
      </c>
      <c r="G336" s="9" t="str">
        <f>IFERROR(__xludf.DUMMYFUNCTION("IF(B336="""","""",ROUND(XLOOKUP(B336, FLATTEN(B$1:E335), FLATTEN(O$1:R335), 500, 0, -1)))"),"")</f>
        <v/>
      </c>
      <c r="H336" s="9" t="str">
        <f>IFERROR(__xludf.DUMMYFUNCTION("IF(C336="""","""",ROUND(XLOOKUP(C336, FLATTEN(B$1:E335), FLATTEN(O$1:R335), 500, 0, -1)))"),"")</f>
        <v/>
      </c>
      <c r="I336" s="9" t="str">
        <f>IFERROR(__xludf.DUMMYFUNCTION("IF(D336="""","""",ROUND(XLOOKUP(D336, FLATTEN(B$1:E335), FLATTEN(O$1:R335), 500, 0, -1)))"),"")</f>
        <v/>
      </c>
      <c r="J336" s="9" t="str">
        <f>IFERROR(__xludf.DUMMYFUNCTION("IF(E336="""","""",ROUND(XLOOKUP(E336, FLATTEN(B$1:E335), FLATTEN(O$1:R335), 500, 0, -1)))"),"")</f>
        <v/>
      </c>
      <c r="K336" s="9" t="str">
        <f t="shared" si="2"/>
        <v/>
      </c>
      <c r="L336" s="9" t="str">
        <f t="shared" si="3"/>
        <v/>
      </c>
      <c r="M336" s="32" t="str">
        <f t="shared" si="4"/>
        <v/>
      </c>
      <c r="N336" s="9" t="str">
        <f t="shared" si="5"/>
        <v/>
      </c>
      <c r="O336" s="9" t="str">
        <f t="shared" si="6"/>
        <v/>
      </c>
      <c r="P336" s="9" t="str">
        <f t="shared" si="7"/>
        <v/>
      </c>
      <c r="Q336" s="9" t="str">
        <f t="shared" si="8"/>
        <v/>
      </c>
      <c r="R336" s="9" t="str">
        <f t="shared" si="9"/>
        <v/>
      </c>
    </row>
    <row r="337">
      <c r="A337" s="1" t="str">
        <f t="shared" si="1"/>
        <v/>
      </c>
      <c r="G337" s="9" t="str">
        <f>IFERROR(__xludf.DUMMYFUNCTION("IF(B337="""","""",ROUND(XLOOKUP(B337, FLATTEN(B$1:E336), FLATTEN(O$1:R336), 500, 0, -1)))"),"")</f>
        <v/>
      </c>
      <c r="H337" s="9" t="str">
        <f>IFERROR(__xludf.DUMMYFUNCTION("IF(C337="""","""",ROUND(XLOOKUP(C337, FLATTEN(B$1:E336), FLATTEN(O$1:R336), 500, 0, -1)))"),"")</f>
        <v/>
      </c>
      <c r="I337" s="9" t="str">
        <f>IFERROR(__xludf.DUMMYFUNCTION("IF(D337="""","""",ROUND(XLOOKUP(D337, FLATTEN(B$1:E336), FLATTEN(O$1:R336), 500, 0, -1)))"),"")</f>
        <v/>
      </c>
      <c r="J337" s="9" t="str">
        <f>IFERROR(__xludf.DUMMYFUNCTION("IF(E337="""","""",ROUND(XLOOKUP(E337, FLATTEN(B$1:E336), FLATTEN(O$1:R336), 500, 0, -1)))"),"")</f>
        <v/>
      </c>
      <c r="K337" s="9" t="str">
        <f t="shared" si="2"/>
        <v/>
      </c>
      <c r="L337" s="9" t="str">
        <f t="shared" si="3"/>
        <v/>
      </c>
      <c r="M337" s="32" t="str">
        <f t="shared" si="4"/>
        <v/>
      </c>
      <c r="N337" s="9" t="str">
        <f t="shared" si="5"/>
        <v/>
      </c>
      <c r="O337" s="9" t="str">
        <f t="shared" si="6"/>
        <v/>
      </c>
      <c r="P337" s="9" t="str">
        <f t="shared" si="7"/>
        <v/>
      </c>
      <c r="Q337" s="9" t="str">
        <f t="shared" si="8"/>
        <v/>
      </c>
      <c r="R337" s="9" t="str">
        <f t="shared" si="9"/>
        <v/>
      </c>
    </row>
    <row r="338">
      <c r="A338" s="1" t="str">
        <f t="shared" si="1"/>
        <v/>
      </c>
      <c r="G338" s="9" t="str">
        <f>IFERROR(__xludf.DUMMYFUNCTION("IF(B338="""","""",ROUND(XLOOKUP(B338, FLATTEN(B$1:E337), FLATTEN(O$1:R337), 500, 0, -1)))"),"")</f>
        <v/>
      </c>
      <c r="H338" s="9" t="str">
        <f>IFERROR(__xludf.DUMMYFUNCTION("IF(C338="""","""",ROUND(XLOOKUP(C338, FLATTEN(B$1:E337), FLATTEN(O$1:R337), 500, 0, -1)))"),"")</f>
        <v/>
      </c>
      <c r="I338" s="9" t="str">
        <f>IFERROR(__xludf.DUMMYFUNCTION("IF(D338="""","""",ROUND(XLOOKUP(D338, FLATTEN(B$1:E337), FLATTEN(O$1:R337), 500, 0, -1)))"),"")</f>
        <v/>
      </c>
      <c r="J338" s="9" t="str">
        <f>IFERROR(__xludf.DUMMYFUNCTION("IF(E338="""","""",ROUND(XLOOKUP(E338, FLATTEN(B$1:E337), FLATTEN(O$1:R337), 500, 0, -1)))"),"")</f>
        <v/>
      </c>
      <c r="K338" s="9" t="str">
        <f t="shared" si="2"/>
        <v/>
      </c>
      <c r="L338" s="9" t="str">
        <f t="shared" si="3"/>
        <v/>
      </c>
      <c r="M338" s="32" t="str">
        <f t="shared" si="4"/>
        <v/>
      </c>
      <c r="N338" s="9" t="str">
        <f t="shared" si="5"/>
        <v/>
      </c>
      <c r="O338" s="9" t="str">
        <f t="shared" si="6"/>
        <v/>
      </c>
      <c r="P338" s="9" t="str">
        <f t="shared" si="7"/>
        <v/>
      </c>
      <c r="Q338" s="9" t="str">
        <f t="shared" si="8"/>
        <v/>
      </c>
      <c r="R338" s="9" t="str">
        <f t="shared" si="9"/>
        <v/>
      </c>
    </row>
    <row r="339">
      <c r="A339" s="1" t="str">
        <f t="shared" si="1"/>
        <v/>
      </c>
      <c r="G339" s="9" t="str">
        <f>IFERROR(__xludf.DUMMYFUNCTION("IF(B339="""","""",ROUND(XLOOKUP(B339, FLATTEN(B$1:E338), FLATTEN(O$1:R338), 500, 0, -1)))"),"")</f>
        <v/>
      </c>
      <c r="H339" s="9" t="str">
        <f>IFERROR(__xludf.DUMMYFUNCTION("IF(C339="""","""",ROUND(XLOOKUP(C339, FLATTEN(B$1:E338), FLATTEN(O$1:R338), 500, 0, -1)))"),"")</f>
        <v/>
      </c>
      <c r="I339" s="9" t="str">
        <f>IFERROR(__xludf.DUMMYFUNCTION("IF(D339="""","""",ROUND(XLOOKUP(D339, FLATTEN(B$1:E338), FLATTEN(O$1:R338), 500, 0, -1)))"),"")</f>
        <v/>
      </c>
      <c r="J339" s="9" t="str">
        <f>IFERROR(__xludf.DUMMYFUNCTION("IF(E339="""","""",ROUND(XLOOKUP(E339, FLATTEN(B$1:E338), FLATTEN(O$1:R338), 500, 0, -1)))"),"")</f>
        <v/>
      </c>
      <c r="K339" s="9" t="str">
        <f t="shared" si="2"/>
        <v/>
      </c>
      <c r="L339" s="9" t="str">
        <f t="shared" si="3"/>
        <v/>
      </c>
      <c r="M339" s="32" t="str">
        <f t="shared" si="4"/>
        <v/>
      </c>
      <c r="N339" s="9" t="str">
        <f t="shared" si="5"/>
        <v/>
      </c>
      <c r="O339" s="9" t="str">
        <f t="shared" si="6"/>
        <v/>
      </c>
      <c r="P339" s="9" t="str">
        <f t="shared" si="7"/>
        <v/>
      </c>
      <c r="Q339" s="9" t="str">
        <f t="shared" si="8"/>
        <v/>
      </c>
      <c r="R339" s="9" t="str">
        <f t="shared" si="9"/>
        <v/>
      </c>
    </row>
    <row r="340">
      <c r="A340" s="1" t="str">
        <f t="shared" si="1"/>
        <v/>
      </c>
      <c r="G340" s="9" t="str">
        <f>IFERROR(__xludf.DUMMYFUNCTION("IF(B340="""","""",ROUND(XLOOKUP(B340, FLATTEN(B$1:E339), FLATTEN(O$1:R339), 500, 0, -1)))"),"")</f>
        <v/>
      </c>
      <c r="H340" s="9" t="str">
        <f>IFERROR(__xludf.DUMMYFUNCTION("IF(C340="""","""",ROUND(XLOOKUP(C340, FLATTEN(B$1:E339), FLATTEN(O$1:R339), 500, 0, -1)))"),"")</f>
        <v/>
      </c>
      <c r="I340" s="9" t="str">
        <f>IFERROR(__xludf.DUMMYFUNCTION("IF(D340="""","""",ROUND(XLOOKUP(D340, FLATTEN(B$1:E339), FLATTEN(O$1:R339), 500, 0, -1)))"),"")</f>
        <v/>
      </c>
      <c r="J340" s="9" t="str">
        <f>IFERROR(__xludf.DUMMYFUNCTION("IF(E340="""","""",ROUND(XLOOKUP(E340, FLATTEN(B$1:E339), FLATTEN(O$1:R339), 500, 0, -1)))"),"")</f>
        <v/>
      </c>
      <c r="K340" s="9" t="str">
        <f t="shared" si="2"/>
        <v/>
      </c>
      <c r="L340" s="9" t="str">
        <f t="shared" si="3"/>
        <v/>
      </c>
      <c r="M340" s="32" t="str">
        <f t="shared" si="4"/>
        <v/>
      </c>
      <c r="N340" s="9" t="str">
        <f t="shared" si="5"/>
        <v/>
      </c>
      <c r="O340" s="9" t="str">
        <f t="shared" si="6"/>
        <v/>
      </c>
      <c r="P340" s="9" t="str">
        <f t="shared" si="7"/>
        <v/>
      </c>
      <c r="Q340" s="9" t="str">
        <f t="shared" si="8"/>
        <v/>
      </c>
      <c r="R340" s="9" t="str">
        <f t="shared" si="9"/>
        <v/>
      </c>
    </row>
    <row r="341">
      <c r="A341" s="1" t="str">
        <f t="shared" si="1"/>
        <v/>
      </c>
      <c r="G341" s="9" t="str">
        <f>IFERROR(__xludf.DUMMYFUNCTION("IF(B341="""","""",ROUND(XLOOKUP(B341, FLATTEN(B$1:E340), FLATTEN(O$1:R340), 500, 0, -1)))"),"")</f>
        <v/>
      </c>
      <c r="H341" s="9" t="str">
        <f>IFERROR(__xludf.DUMMYFUNCTION("IF(C341="""","""",ROUND(XLOOKUP(C341, FLATTEN(B$1:E340), FLATTEN(O$1:R340), 500, 0, -1)))"),"")</f>
        <v/>
      </c>
      <c r="I341" s="9" t="str">
        <f>IFERROR(__xludf.DUMMYFUNCTION("IF(D341="""","""",ROUND(XLOOKUP(D341, FLATTEN(B$1:E340), FLATTEN(O$1:R340), 500, 0, -1)))"),"")</f>
        <v/>
      </c>
      <c r="J341" s="9" t="str">
        <f>IFERROR(__xludf.DUMMYFUNCTION("IF(E341="""","""",ROUND(XLOOKUP(E341, FLATTEN(B$1:E340), FLATTEN(O$1:R340), 500, 0, -1)))"),"")</f>
        <v/>
      </c>
      <c r="K341" s="9" t="str">
        <f t="shared" si="2"/>
        <v/>
      </c>
      <c r="L341" s="9" t="str">
        <f t="shared" si="3"/>
        <v/>
      </c>
      <c r="M341" s="32" t="str">
        <f t="shared" si="4"/>
        <v/>
      </c>
      <c r="N341" s="9" t="str">
        <f t="shared" si="5"/>
        <v/>
      </c>
      <c r="O341" s="9" t="str">
        <f t="shared" si="6"/>
        <v/>
      </c>
      <c r="P341" s="9" t="str">
        <f t="shared" si="7"/>
        <v/>
      </c>
      <c r="Q341" s="9" t="str">
        <f t="shared" si="8"/>
        <v/>
      </c>
      <c r="R341" s="9" t="str">
        <f t="shared" si="9"/>
        <v/>
      </c>
    </row>
    <row r="342">
      <c r="A342" s="1" t="str">
        <f t="shared" si="1"/>
        <v/>
      </c>
      <c r="G342" s="9" t="str">
        <f>IFERROR(__xludf.DUMMYFUNCTION("IF(B342="""","""",ROUND(XLOOKUP(B342, FLATTEN(B$1:E341), FLATTEN(O$1:R341), 500, 0, -1)))"),"")</f>
        <v/>
      </c>
      <c r="H342" s="9" t="str">
        <f>IFERROR(__xludf.DUMMYFUNCTION("IF(C342="""","""",ROUND(XLOOKUP(C342, FLATTEN(B$1:E341), FLATTEN(O$1:R341), 500, 0, -1)))"),"")</f>
        <v/>
      </c>
      <c r="I342" s="9" t="str">
        <f>IFERROR(__xludf.DUMMYFUNCTION("IF(D342="""","""",ROUND(XLOOKUP(D342, FLATTEN(B$1:E341), FLATTEN(O$1:R341), 500, 0, -1)))"),"")</f>
        <v/>
      </c>
      <c r="J342" s="9" t="str">
        <f>IFERROR(__xludf.DUMMYFUNCTION("IF(E342="""","""",ROUND(XLOOKUP(E342, FLATTEN(B$1:E341), FLATTEN(O$1:R341), 500, 0, -1)))"),"")</f>
        <v/>
      </c>
      <c r="K342" s="9" t="str">
        <f t="shared" si="2"/>
        <v/>
      </c>
      <c r="L342" s="9" t="str">
        <f t="shared" si="3"/>
        <v/>
      </c>
      <c r="M342" s="32" t="str">
        <f t="shared" si="4"/>
        <v/>
      </c>
      <c r="N342" s="9" t="str">
        <f t="shared" si="5"/>
        <v/>
      </c>
      <c r="O342" s="9" t="str">
        <f t="shared" si="6"/>
        <v/>
      </c>
      <c r="P342" s="9" t="str">
        <f t="shared" si="7"/>
        <v/>
      </c>
      <c r="Q342" s="9" t="str">
        <f t="shared" si="8"/>
        <v/>
      </c>
      <c r="R342" s="9" t="str">
        <f t="shared" si="9"/>
        <v/>
      </c>
    </row>
    <row r="343">
      <c r="A343" s="1" t="str">
        <f t="shared" si="1"/>
        <v/>
      </c>
      <c r="G343" s="9" t="str">
        <f>IFERROR(__xludf.DUMMYFUNCTION("IF(B343="""","""",ROUND(XLOOKUP(B343, FLATTEN(B$1:E342), FLATTEN(O$1:R342), 500, 0, -1)))"),"")</f>
        <v/>
      </c>
      <c r="H343" s="9" t="str">
        <f>IFERROR(__xludf.DUMMYFUNCTION("IF(C343="""","""",ROUND(XLOOKUP(C343, FLATTEN(B$1:E342), FLATTEN(O$1:R342), 500, 0, -1)))"),"")</f>
        <v/>
      </c>
      <c r="I343" s="9" t="str">
        <f>IFERROR(__xludf.DUMMYFUNCTION("IF(D343="""","""",ROUND(XLOOKUP(D343, FLATTEN(B$1:E342), FLATTEN(O$1:R342), 500, 0, -1)))"),"")</f>
        <v/>
      </c>
      <c r="J343" s="9" t="str">
        <f>IFERROR(__xludf.DUMMYFUNCTION("IF(E343="""","""",ROUND(XLOOKUP(E343, FLATTEN(B$1:E342), FLATTEN(O$1:R342), 500, 0, -1)))"),"")</f>
        <v/>
      </c>
      <c r="K343" s="9" t="str">
        <f t="shared" si="2"/>
        <v/>
      </c>
      <c r="L343" s="9" t="str">
        <f t="shared" si="3"/>
        <v/>
      </c>
      <c r="M343" s="32" t="str">
        <f t="shared" si="4"/>
        <v/>
      </c>
      <c r="N343" s="9" t="str">
        <f t="shared" si="5"/>
        <v/>
      </c>
      <c r="O343" s="9" t="str">
        <f t="shared" si="6"/>
        <v/>
      </c>
      <c r="P343" s="9" t="str">
        <f t="shared" si="7"/>
        <v/>
      </c>
      <c r="Q343" s="9" t="str">
        <f t="shared" si="8"/>
        <v/>
      </c>
      <c r="R343" s="9" t="str">
        <f t="shared" si="9"/>
        <v/>
      </c>
    </row>
    <row r="344">
      <c r="A344" s="1" t="str">
        <f t="shared" si="1"/>
        <v/>
      </c>
      <c r="G344" s="9" t="str">
        <f>IFERROR(__xludf.DUMMYFUNCTION("IF(B344="""","""",ROUND(XLOOKUP(B344, FLATTEN(B$1:E343), FLATTEN(O$1:R343), 500, 0, -1)))"),"")</f>
        <v/>
      </c>
      <c r="H344" s="9" t="str">
        <f>IFERROR(__xludf.DUMMYFUNCTION("IF(C344="""","""",ROUND(XLOOKUP(C344, FLATTEN(B$1:E343), FLATTEN(O$1:R343), 500, 0, -1)))"),"")</f>
        <v/>
      </c>
      <c r="I344" s="9" t="str">
        <f>IFERROR(__xludf.DUMMYFUNCTION("IF(D344="""","""",ROUND(XLOOKUP(D344, FLATTEN(B$1:E343), FLATTEN(O$1:R343), 500, 0, -1)))"),"")</f>
        <v/>
      </c>
      <c r="J344" s="9" t="str">
        <f>IFERROR(__xludf.DUMMYFUNCTION("IF(E344="""","""",ROUND(XLOOKUP(E344, FLATTEN(B$1:E343), FLATTEN(O$1:R343), 500, 0, -1)))"),"")</f>
        <v/>
      </c>
      <c r="K344" s="9" t="str">
        <f t="shared" si="2"/>
        <v/>
      </c>
      <c r="L344" s="9" t="str">
        <f t="shared" si="3"/>
        <v/>
      </c>
      <c r="M344" s="32" t="str">
        <f t="shared" si="4"/>
        <v/>
      </c>
      <c r="N344" s="9" t="str">
        <f t="shared" si="5"/>
        <v/>
      </c>
      <c r="O344" s="9" t="str">
        <f t="shared" si="6"/>
        <v/>
      </c>
      <c r="P344" s="9" t="str">
        <f t="shared" si="7"/>
        <v/>
      </c>
      <c r="Q344" s="9" t="str">
        <f t="shared" si="8"/>
        <v/>
      </c>
      <c r="R344" s="9" t="str">
        <f t="shared" si="9"/>
        <v/>
      </c>
    </row>
    <row r="345">
      <c r="A345" s="1" t="str">
        <f t="shared" si="1"/>
        <v/>
      </c>
      <c r="G345" s="9" t="str">
        <f>IFERROR(__xludf.DUMMYFUNCTION("IF(B345="""","""",ROUND(XLOOKUP(B345, FLATTEN(B$1:E344), FLATTEN(O$1:R344), 500, 0, -1)))"),"")</f>
        <v/>
      </c>
      <c r="H345" s="9" t="str">
        <f>IFERROR(__xludf.DUMMYFUNCTION("IF(C345="""","""",ROUND(XLOOKUP(C345, FLATTEN(B$1:E344), FLATTEN(O$1:R344), 500, 0, -1)))"),"")</f>
        <v/>
      </c>
      <c r="I345" s="9" t="str">
        <f>IFERROR(__xludf.DUMMYFUNCTION("IF(D345="""","""",ROUND(XLOOKUP(D345, FLATTEN(B$1:E344), FLATTEN(O$1:R344), 500, 0, -1)))"),"")</f>
        <v/>
      </c>
      <c r="J345" s="9" t="str">
        <f>IFERROR(__xludf.DUMMYFUNCTION("IF(E345="""","""",ROUND(XLOOKUP(E345, FLATTEN(B$1:E344), FLATTEN(O$1:R344), 500, 0, -1)))"),"")</f>
        <v/>
      </c>
      <c r="K345" s="9" t="str">
        <f t="shared" si="2"/>
        <v/>
      </c>
      <c r="L345" s="9" t="str">
        <f t="shared" si="3"/>
        <v/>
      </c>
      <c r="M345" s="32" t="str">
        <f t="shared" si="4"/>
        <v/>
      </c>
      <c r="N345" s="9" t="str">
        <f t="shared" si="5"/>
        <v/>
      </c>
      <c r="O345" s="9" t="str">
        <f t="shared" si="6"/>
        <v/>
      </c>
      <c r="P345" s="9" t="str">
        <f t="shared" si="7"/>
        <v/>
      </c>
      <c r="Q345" s="9" t="str">
        <f t="shared" si="8"/>
        <v/>
      </c>
      <c r="R345" s="9" t="str">
        <f t="shared" si="9"/>
        <v/>
      </c>
    </row>
    <row r="346">
      <c r="A346" s="1" t="str">
        <f t="shared" si="1"/>
        <v/>
      </c>
      <c r="G346" s="9" t="str">
        <f>IFERROR(__xludf.DUMMYFUNCTION("IF(B346="""","""",ROUND(XLOOKUP(B346, FLATTEN(B$1:E345), FLATTEN(O$1:R345), 500, 0, -1)))"),"")</f>
        <v/>
      </c>
      <c r="H346" s="9" t="str">
        <f>IFERROR(__xludf.DUMMYFUNCTION("IF(C346="""","""",ROUND(XLOOKUP(C346, FLATTEN(B$1:E345), FLATTEN(O$1:R345), 500, 0, -1)))"),"")</f>
        <v/>
      </c>
      <c r="I346" s="9" t="str">
        <f>IFERROR(__xludf.DUMMYFUNCTION("IF(D346="""","""",ROUND(XLOOKUP(D346, FLATTEN(B$1:E345), FLATTEN(O$1:R345), 500, 0, -1)))"),"")</f>
        <v/>
      </c>
      <c r="J346" s="9" t="str">
        <f>IFERROR(__xludf.DUMMYFUNCTION("IF(E346="""","""",ROUND(XLOOKUP(E346, FLATTEN(B$1:E345), FLATTEN(O$1:R345), 500, 0, -1)))"),"")</f>
        <v/>
      </c>
      <c r="K346" s="9" t="str">
        <f t="shared" si="2"/>
        <v/>
      </c>
      <c r="L346" s="9" t="str">
        <f t="shared" si="3"/>
        <v/>
      </c>
      <c r="M346" s="32" t="str">
        <f t="shared" si="4"/>
        <v/>
      </c>
      <c r="N346" s="9" t="str">
        <f t="shared" si="5"/>
        <v/>
      </c>
      <c r="O346" s="9" t="str">
        <f t="shared" si="6"/>
        <v/>
      </c>
      <c r="P346" s="9" t="str">
        <f t="shared" si="7"/>
        <v/>
      </c>
      <c r="Q346" s="9" t="str">
        <f t="shared" si="8"/>
        <v/>
      </c>
      <c r="R346" s="9" t="str">
        <f t="shared" si="9"/>
        <v/>
      </c>
    </row>
    <row r="347">
      <c r="A347" s="1" t="str">
        <f t="shared" si="1"/>
        <v/>
      </c>
      <c r="G347" s="9" t="str">
        <f>IFERROR(__xludf.DUMMYFUNCTION("IF(B347="""","""",ROUND(XLOOKUP(B347, FLATTEN(B$1:E346), FLATTEN(O$1:R346), 500, 0, -1)))"),"")</f>
        <v/>
      </c>
      <c r="H347" s="9" t="str">
        <f>IFERROR(__xludf.DUMMYFUNCTION("IF(C347="""","""",ROUND(XLOOKUP(C347, FLATTEN(B$1:E346), FLATTEN(O$1:R346), 500, 0, -1)))"),"")</f>
        <v/>
      </c>
      <c r="I347" s="9" t="str">
        <f>IFERROR(__xludf.DUMMYFUNCTION("IF(D347="""","""",ROUND(XLOOKUP(D347, FLATTEN(B$1:E346), FLATTEN(O$1:R346), 500, 0, -1)))"),"")</f>
        <v/>
      </c>
      <c r="J347" s="9" t="str">
        <f>IFERROR(__xludf.DUMMYFUNCTION("IF(E347="""","""",ROUND(XLOOKUP(E347, FLATTEN(B$1:E346), FLATTEN(O$1:R346), 500, 0, -1)))"),"")</f>
        <v/>
      </c>
      <c r="K347" s="9" t="str">
        <f t="shared" si="2"/>
        <v/>
      </c>
      <c r="L347" s="9" t="str">
        <f t="shared" si="3"/>
        <v/>
      </c>
      <c r="M347" s="32" t="str">
        <f t="shared" si="4"/>
        <v/>
      </c>
      <c r="N347" s="9" t="str">
        <f t="shared" si="5"/>
        <v/>
      </c>
      <c r="O347" s="9" t="str">
        <f t="shared" si="6"/>
        <v/>
      </c>
      <c r="P347" s="9" t="str">
        <f t="shared" si="7"/>
        <v/>
      </c>
      <c r="Q347" s="9" t="str">
        <f t="shared" si="8"/>
        <v/>
      </c>
      <c r="R347" s="9" t="str">
        <f t="shared" si="9"/>
        <v/>
      </c>
    </row>
    <row r="348">
      <c r="A348" s="1" t="str">
        <f t="shared" si="1"/>
        <v/>
      </c>
      <c r="G348" s="9" t="str">
        <f>IFERROR(__xludf.DUMMYFUNCTION("IF(B348="""","""",ROUND(XLOOKUP(B348, FLATTEN(B$1:E347), FLATTEN(O$1:R347), 500, 0, -1)))"),"")</f>
        <v/>
      </c>
      <c r="H348" s="9" t="str">
        <f>IFERROR(__xludf.DUMMYFUNCTION("IF(C348="""","""",ROUND(XLOOKUP(C348, FLATTEN(B$1:E347), FLATTEN(O$1:R347), 500, 0, -1)))"),"")</f>
        <v/>
      </c>
      <c r="I348" s="9" t="str">
        <f>IFERROR(__xludf.DUMMYFUNCTION("IF(D348="""","""",ROUND(XLOOKUP(D348, FLATTEN(B$1:E347), FLATTEN(O$1:R347), 500, 0, -1)))"),"")</f>
        <v/>
      </c>
      <c r="J348" s="9" t="str">
        <f>IFERROR(__xludf.DUMMYFUNCTION("IF(E348="""","""",ROUND(XLOOKUP(E348, FLATTEN(B$1:E347), FLATTEN(O$1:R347), 500, 0, -1)))"),"")</f>
        <v/>
      </c>
      <c r="K348" s="9" t="str">
        <f t="shared" si="2"/>
        <v/>
      </c>
      <c r="L348" s="9" t="str">
        <f t="shared" si="3"/>
        <v/>
      </c>
      <c r="M348" s="32" t="str">
        <f t="shared" si="4"/>
        <v/>
      </c>
      <c r="N348" s="9" t="str">
        <f t="shared" si="5"/>
        <v/>
      </c>
      <c r="O348" s="9" t="str">
        <f t="shared" si="6"/>
        <v/>
      </c>
      <c r="P348" s="9" t="str">
        <f t="shared" si="7"/>
        <v/>
      </c>
      <c r="Q348" s="9" t="str">
        <f t="shared" si="8"/>
        <v/>
      </c>
      <c r="R348" s="9" t="str">
        <f t="shared" si="9"/>
        <v/>
      </c>
    </row>
    <row r="349">
      <c r="A349" s="1" t="str">
        <f t="shared" si="1"/>
        <v/>
      </c>
      <c r="G349" s="9" t="str">
        <f>IFERROR(__xludf.DUMMYFUNCTION("IF(B349="""","""",ROUND(XLOOKUP(B349, FLATTEN(B$1:E348), FLATTEN(O$1:R348), 500, 0, -1)))"),"")</f>
        <v/>
      </c>
      <c r="H349" s="9" t="str">
        <f>IFERROR(__xludf.DUMMYFUNCTION("IF(C349="""","""",ROUND(XLOOKUP(C349, FLATTEN(B$1:E348), FLATTEN(O$1:R348), 500, 0, -1)))"),"")</f>
        <v/>
      </c>
      <c r="I349" s="9" t="str">
        <f>IFERROR(__xludf.DUMMYFUNCTION("IF(D349="""","""",ROUND(XLOOKUP(D349, FLATTEN(B$1:E348), FLATTEN(O$1:R348), 500, 0, -1)))"),"")</f>
        <v/>
      </c>
      <c r="J349" s="9" t="str">
        <f>IFERROR(__xludf.DUMMYFUNCTION("IF(E349="""","""",ROUND(XLOOKUP(E349, FLATTEN(B$1:E348), FLATTEN(O$1:R348), 500, 0, -1)))"),"")</f>
        <v/>
      </c>
      <c r="K349" s="9" t="str">
        <f t="shared" si="2"/>
        <v/>
      </c>
      <c r="L349" s="9" t="str">
        <f t="shared" si="3"/>
        <v/>
      </c>
      <c r="M349" s="32" t="str">
        <f t="shared" si="4"/>
        <v/>
      </c>
      <c r="N349" s="9" t="str">
        <f t="shared" si="5"/>
        <v/>
      </c>
      <c r="O349" s="9" t="str">
        <f t="shared" si="6"/>
        <v/>
      </c>
      <c r="P349" s="9" t="str">
        <f t="shared" si="7"/>
        <v/>
      </c>
      <c r="Q349" s="9" t="str">
        <f t="shared" si="8"/>
        <v/>
      </c>
      <c r="R349" s="9" t="str">
        <f t="shared" si="9"/>
        <v/>
      </c>
    </row>
    <row r="350">
      <c r="A350" s="1" t="str">
        <f t="shared" si="1"/>
        <v/>
      </c>
      <c r="G350" s="9" t="str">
        <f>IFERROR(__xludf.DUMMYFUNCTION("IF(B350="""","""",ROUND(XLOOKUP(B350, FLATTEN(B$1:E349), FLATTEN(O$1:R349), 500, 0, -1)))"),"")</f>
        <v/>
      </c>
      <c r="H350" s="9" t="str">
        <f>IFERROR(__xludf.DUMMYFUNCTION("IF(C350="""","""",ROUND(XLOOKUP(C350, FLATTEN(B$1:E349), FLATTEN(O$1:R349), 500, 0, -1)))"),"")</f>
        <v/>
      </c>
      <c r="I350" s="9" t="str">
        <f>IFERROR(__xludf.DUMMYFUNCTION("IF(D350="""","""",ROUND(XLOOKUP(D350, FLATTEN(B$1:E349), FLATTEN(O$1:R349), 500, 0, -1)))"),"")</f>
        <v/>
      </c>
      <c r="J350" s="9" t="str">
        <f>IFERROR(__xludf.DUMMYFUNCTION("IF(E350="""","""",ROUND(XLOOKUP(E350, FLATTEN(B$1:E349), FLATTEN(O$1:R349), 500, 0, -1)))"),"")</f>
        <v/>
      </c>
      <c r="K350" s="9" t="str">
        <f t="shared" si="2"/>
        <v/>
      </c>
      <c r="L350" s="9" t="str">
        <f t="shared" si="3"/>
        <v/>
      </c>
      <c r="M350" s="32" t="str">
        <f t="shared" si="4"/>
        <v/>
      </c>
      <c r="N350" s="9" t="str">
        <f t="shared" si="5"/>
        <v/>
      </c>
      <c r="O350" s="9" t="str">
        <f t="shared" si="6"/>
        <v/>
      </c>
      <c r="P350" s="9" t="str">
        <f t="shared" si="7"/>
        <v/>
      </c>
      <c r="Q350" s="9" t="str">
        <f t="shared" si="8"/>
        <v/>
      </c>
      <c r="R350" s="9" t="str">
        <f t="shared" si="9"/>
        <v/>
      </c>
    </row>
    <row r="351">
      <c r="A351" s="1" t="str">
        <f t="shared" si="1"/>
        <v/>
      </c>
      <c r="G351" s="9" t="str">
        <f>IFERROR(__xludf.DUMMYFUNCTION("IF(B351="""","""",ROUND(XLOOKUP(B351, FLATTEN(B$1:E350), FLATTEN(O$1:R350), 500, 0, -1)))"),"")</f>
        <v/>
      </c>
      <c r="H351" s="9" t="str">
        <f>IFERROR(__xludf.DUMMYFUNCTION("IF(C351="""","""",ROUND(XLOOKUP(C351, FLATTEN(B$1:E350), FLATTEN(O$1:R350), 500, 0, -1)))"),"")</f>
        <v/>
      </c>
      <c r="I351" s="9" t="str">
        <f>IFERROR(__xludf.DUMMYFUNCTION("IF(D351="""","""",ROUND(XLOOKUP(D351, FLATTEN(B$1:E350), FLATTEN(O$1:R350), 500, 0, -1)))"),"")</f>
        <v/>
      </c>
      <c r="J351" s="9" t="str">
        <f>IFERROR(__xludf.DUMMYFUNCTION("IF(E351="""","""",ROUND(XLOOKUP(E351, FLATTEN(B$1:E350), FLATTEN(O$1:R350), 500, 0, -1)))"),"")</f>
        <v/>
      </c>
      <c r="K351" s="9" t="str">
        <f t="shared" si="2"/>
        <v/>
      </c>
      <c r="L351" s="9" t="str">
        <f t="shared" si="3"/>
        <v/>
      </c>
      <c r="M351" s="32" t="str">
        <f t="shared" si="4"/>
        <v/>
      </c>
      <c r="N351" s="9" t="str">
        <f t="shared" si="5"/>
        <v/>
      </c>
      <c r="O351" s="9" t="str">
        <f t="shared" si="6"/>
        <v/>
      </c>
      <c r="P351" s="9" t="str">
        <f t="shared" si="7"/>
        <v/>
      </c>
      <c r="Q351" s="9" t="str">
        <f t="shared" si="8"/>
        <v/>
      </c>
      <c r="R351" s="9" t="str">
        <f t="shared" si="9"/>
        <v/>
      </c>
    </row>
    <row r="352">
      <c r="A352" s="1" t="str">
        <f t="shared" si="1"/>
        <v/>
      </c>
      <c r="G352" s="9" t="str">
        <f>IFERROR(__xludf.DUMMYFUNCTION("IF(B352="""","""",ROUND(XLOOKUP(B352, FLATTEN(B$1:E351), FLATTEN(O$1:R351), 500, 0, -1)))"),"")</f>
        <v/>
      </c>
      <c r="H352" s="9" t="str">
        <f>IFERROR(__xludf.DUMMYFUNCTION("IF(C352="""","""",ROUND(XLOOKUP(C352, FLATTEN(B$1:E351), FLATTEN(O$1:R351), 500, 0, -1)))"),"")</f>
        <v/>
      </c>
      <c r="I352" s="9" t="str">
        <f>IFERROR(__xludf.DUMMYFUNCTION("IF(D352="""","""",ROUND(XLOOKUP(D352, FLATTEN(B$1:E351), FLATTEN(O$1:R351), 500, 0, -1)))"),"")</f>
        <v/>
      </c>
      <c r="J352" s="9" t="str">
        <f>IFERROR(__xludf.DUMMYFUNCTION("IF(E352="""","""",ROUND(XLOOKUP(E352, FLATTEN(B$1:E351), FLATTEN(O$1:R351), 500, 0, -1)))"),"")</f>
        <v/>
      </c>
      <c r="K352" s="9" t="str">
        <f t="shared" si="2"/>
        <v/>
      </c>
      <c r="L352" s="9" t="str">
        <f t="shared" si="3"/>
        <v/>
      </c>
      <c r="M352" s="32" t="str">
        <f t="shared" si="4"/>
        <v/>
      </c>
      <c r="N352" s="9" t="str">
        <f t="shared" si="5"/>
        <v/>
      </c>
      <c r="O352" s="9" t="str">
        <f t="shared" si="6"/>
        <v/>
      </c>
      <c r="P352" s="9" t="str">
        <f t="shared" si="7"/>
        <v/>
      </c>
      <c r="Q352" s="9" t="str">
        <f t="shared" si="8"/>
        <v/>
      </c>
      <c r="R352" s="9" t="str">
        <f t="shared" si="9"/>
        <v/>
      </c>
    </row>
    <row r="353">
      <c r="A353" s="1" t="str">
        <f t="shared" si="1"/>
        <v/>
      </c>
      <c r="G353" s="9" t="str">
        <f>IFERROR(__xludf.DUMMYFUNCTION("IF(B353="""","""",ROUND(XLOOKUP(B353, FLATTEN(B$1:E352), FLATTEN(O$1:R352), 500, 0, -1)))"),"")</f>
        <v/>
      </c>
      <c r="H353" s="9" t="str">
        <f>IFERROR(__xludf.DUMMYFUNCTION("IF(C353="""","""",ROUND(XLOOKUP(C353, FLATTEN(B$1:E352), FLATTEN(O$1:R352), 500, 0, -1)))"),"")</f>
        <v/>
      </c>
      <c r="I353" s="9" t="str">
        <f>IFERROR(__xludf.DUMMYFUNCTION("IF(D353="""","""",ROUND(XLOOKUP(D353, FLATTEN(B$1:E352), FLATTEN(O$1:R352), 500, 0, -1)))"),"")</f>
        <v/>
      </c>
      <c r="J353" s="9" t="str">
        <f>IFERROR(__xludf.DUMMYFUNCTION("IF(E353="""","""",ROUND(XLOOKUP(E353, FLATTEN(B$1:E352), FLATTEN(O$1:R352), 500, 0, -1)))"),"")</f>
        <v/>
      </c>
      <c r="K353" s="9" t="str">
        <f t="shared" si="2"/>
        <v/>
      </c>
      <c r="L353" s="9" t="str">
        <f t="shared" si="3"/>
        <v/>
      </c>
      <c r="M353" s="32" t="str">
        <f t="shared" si="4"/>
        <v/>
      </c>
      <c r="N353" s="9" t="str">
        <f t="shared" si="5"/>
        <v/>
      </c>
      <c r="O353" s="9" t="str">
        <f t="shared" si="6"/>
        <v/>
      </c>
      <c r="P353" s="9" t="str">
        <f t="shared" si="7"/>
        <v/>
      </c>
      <c r="Q353" s="9" t="str">
        <f t="shared" si="8"/>
        <v/>
      </c>
      <c r="R353" s="9" t="str">
        <f t="shared" si="9"/>
        <v/>
      </c>
    </row>
    <row r="354">
      <c r="A354" s="1" t="str">
        <f t="shared" si="1"/>
        <v/>
      </c>
      <c r="G354" s="9" t="str">
        <f>IFERROR(__xludf.DUMMYFUNCTION("IF(B354="""","""",ROUND(XLOOKUP(B354, FLATTEN(B$1:E353), FLATTEN(O$1:R353), 500, 0, -1)))"),"")</f>
        <v/>
      </c>
      <c r="H354" s="9" t="str">
        <f>IFERROR(__xludf.DUMMYFUNCTION("IF(C354="""","""",ROUND(XLOOKUP(C354, FLATTEN(B$1:E353), FLATTEN(O$1:R353), 500, 0, -1)))"),"")</f>
        <v/>
      </c>
      <c r="I354" s="9" t="str">
        <f>IFERROR(__xludf.DUMMYFUNCTION("IF(D354="""","""",ROUND(XLOOKUP(D354, FLATTEN(B$1:E353), FLATTEN(O$1:R353), 500, 0, -1)))"),"")</f>
        <v/>
      </c>
      <c r="J354" s="9" t="str">
        <f>IFERROR(__xludf.DUMMYFUNCTION("IF(E354="""","""",ROUND(XLOOKUP(E354, FLATTEN(B$1:E353), FLATTEN(O$1:R353), 500, 0, -1)))"),"")</f>
        <v/>
      </c>
      <c r="K354" s="9" t="str">
        <f t="shared" si="2"/>
        <v/>
      </c>
      <c r="L354" s="9" t="str">
        <f t="shared" si="3"/>
        <v/>
      </c>
      <c r="M354" s="32" t="str">
        <f t="shared" si="4"/>
        <v/>
      </c>
      <c r="N354" s="9" t="str">
        <f t="shared" si="5"/>
        <v/>
      </c>
      <c r="O354" s="9" t="str">
        <f t="shared" si="6"/>
        <v/>
      </c>
      <c r="P354" s="9" t="str">
        <f t="shared" si="7"/>
        <v/>
      </c>
      <c r="Q354" s="9" t="str">
        <f t="shared" si="8"/>
        <v/>
      </c>
      <c r="R354" s="9" t="str">
        <f t="shared" si="9"/>
        <v/>
      </c>
    </row>
    <row r="355">
      <c r="A355" s="1" t="str">
        <f t="shared" si="1"/>
        <v/>
      </c>
      <c r="G355" s="9" t="str">
        <f>IFERROR(__xludf.DUMMYFUNCTION("IF(B355="""","""",ROUND(XLOOKUP(B355, FLATTEN(B$1:E354), FLATTEN(O$1:R354), 500, 0, -1)))"),"")</f>
        <v/>
      </c>
      <c r="H355" s="9" t="str">
        <f>IFERROR(__xludf.DUMMYFUNCTION("IF(C355="""","""",ROUND(XLOOKUP(C355, FLATTEN(B$1:E354), FLATTEN(O$1:R354), 500, 0, -1)))"),"")</f>
        <v/>
      </c>
      <c r="I355" s="9" t="str">
        <f>IFERROR(__xludf.DUMMYFUNCTION("IF(D355="""","""",ROUND(XLOOKUP(D355, FLATTEN(B$1:E354), FLATTEN(O$1:R354), 500, 0, -1)))"),"")</f>
        <v/>
      </c>
      <c r="J355" s="9" t="str">
        <f>IFERROR(__xludf.DUMMYFUNCTION("IF(E355="""","""",ROUND(XLOOKUP(E355, FLATTEN(B$1:E354), FLATTEN(O$1:R354), 500, 0, -1)))"),"")</f>
        <v/>
      </c>
      <c r="K355" s="9" t="str">
        <f t="shared" si="2"/>
        <v/>
      </c>
      <c r="L355" s="9" t="str">
        <f t="shared" si="3"/>
        <v/>
      </c>
      <c r="M355" s="32" t="str">
        <f t="shared" si="4"/>
        <v/>
      </c>
      <c r="N355" s="9" t="str">
        <f t="shared" si="5"/>
        <v/>
      </c>
      <c r="O355" s="9" t="str">
        <f t="shared" si="6"/>
        <v/>
      </c>
      <c r="P355" s="9" t="str">
        <f t="shared" si="7"/>
        <v/>
      </c>
      <c r="Q355" s="9" t="str">
        <f t="shared" si="8"/>
        <v/>
      </c>
      <c r="R355" s="9" t="str">
        <f t="shared" si="9"/>
        <v/>
      </c>
    </row>
    <row r="356">
      <c r="A356" s="1" t="str">
        <f t="shared" si="1"/>
        <v/>
      </c>
      <c r="G356" s="9" t="str">
        <f>IFERROR(__xludf.DUMMYFUNCTION("IF(B356="""","""",ROUND(XLOOKUP(B356, FLATTEN(B$1:E355), FLATTEN(O$1:R355), 500, 0, -1)))"),"")</f>
        <v/>
      </c>
      <c r="H356" s="9" t="str">
        <f>IFERROR(__xludf.DUMMYFUNCTION("IF(C356="""","""",ROUND(XLOOKUP(C356, FLATTEN(B$1:E355), FLATTEN(O$1:R355), 500, 0, -1)))"),"")</f>
        <v/>
      </c>
      <c r="I356" s="9" t="str">
        <f>IFERROR(__xludf.DUMMYFUNCTION("IF(D356="""","""",ROUND(XLOOKUP(D356, FLATTEN(B$1:E355), FLATTEN(O$1:R355), 500, 0, -1)))"),"")</f>
        <v/>
      </c>
      <c r="J356" s="9" t="str">
        <f>IFERROR(__xludf.DUMMYFUNCTION("IF(E356="""","""",ROUND(XLOOKUP(E356, FLATTEN(B$1:E355), FLATTEN(O$1:R355), 500, 0, -1)))"),"")</f>
        <v/>
      </c>
      <c r="K356" s="9" t="str">
        <f t="shared" si="2"/>
        <v/>
      </c>
      <c r="L356" s="9" t="str">
        <f t="shared" si="3"/>
        <v/>
      </c>
      <c r="M356" s="32" t="str">
        <f t="shared" si="4"/>
        <v/>
      </c>
      <c r="N356" s="9" t="str">
        <f t="shared" si="5"/>
        <v/>
      </c>
      <c r="O356" s="9" t="str">
        <f t="shared" si="6"/>
        <v/>
      </c>
      <c r="P356" s="9" t="str">
        <f t="shared" si="7"/>
        <v/>
      </c>
      <c r="Q356" s="9" t="str">
        <f t="shared" si="8"/>
        <v/>
      </c>
      <c r="R356" s="9" t="str">
        <f t="shared" si="9"/>
        <v/>
      </c>
    </row>
    <row r="357">
      <c r="A357" s="1" t="str">
        <f t="shared" si="1"/>
        <v/>
      </c>
      <c r="G357" s="9" t="str">
        <f>IFERROR(__xludf.DUMMYFUNCTION("IF(B357="""","""",ROUND(XLOOKUP(B357, FLATTEN(B$1:E356), FLATTEN(O$1:R356), 500, 0, -1)))"),"")</f>
        <v/>
      </c>
      <c r="H357" s="9" t="str">
        <f>IFERROR(__xludf.DUMMYFUNCTION("IF(C357="""","""",ROUND(XLOOKUP(C357, FLATTEN(B$1:E356), FLATTEN(O$1:R356), 500, 0, -1)))"),"")</f>
        <v/>
      </c>
      <c r="I357" s="9" t="str">
        <f>IFERROR(__xludf.DUMMYFUNCTION("IF(D357="""","""",ROUND(XLOOKUP(D357, FLATTEN(B$1:E356), FLATTEN(O$1:R356), 500, 0, -1)))"),"")</f>
        <v/>
      </c>
      <c r="J357" s="9" t="str">
        <f>IFERROR(__xludf.DUMMYFUNCTION("IF(E357="""","""",ROUND(XLOOKUP(E357, FLATTEN(B$1:E356), FLATTEN(O$1:R356), 500, 0, -1)))"),"")</f>
        <v/>
      </c>
      <c r="K357" s="9" t="str">
        <f t="shared" si="2"/>
        <v/>
      </c>
      <c r="L357" s="9" t="str">
        <f t="shared" si="3"/>
        <v/>
      </c>
      <c r="M357" s="32" t="str">
        <f t="shared" si="4"/>
        <v/>
      </c>
      <c r="N357" s="9" t="str">
        <f t="shared" si="5"/>
        <v/>
      </c>
      <c r="O357" s="9" t="str">
        <f t="shared" si="6"/>
        <v/>
      </c>
      <c r="P357" s="9" t="str">
        <f t="shared" si="7"/>
        <v/>
      </c>
      <c r="Q357" s="9" t="str">
        <f t="shared" si="8"/>
        <v/>
      </c>
      <c r="R357" s="9" t="str">
        <f t="shared" si="9"/>
        <v/>
      </c>
    </row>
    <row r="358">
      <c r="A358" s="1" t="str">
        <f t="shared" si="1"/>
        <v/>
      </c>
      <c r="G358" s="9" t="str">
        <f>IFERROR(__xludf.DUMMYFUNCTION("IF(B358="""","""",ROUND(XLOOKUP(B358, FLATTEN(B$1:E357), FLATTEN(O$1:R357), 500, 0, -1)))"),"")</f>
        <v/>
      </c>
      <c r="H358" s="9" t="str">
        <f>IFERROR(__xludf.DUMMYFUNCTION("IF(C358="""","""",ROUND(XLOOKUP(C358, FLATTEN(B$1:E357), FLATTEN(O$1:R357), 500, 0, -1)))"),"")</f>
        <v/>
      </c>
      <c r="I358" s="9" t="str">
        <f>IFERROR(__xludf.DUMMYFUNCTION("IF(D358="""","""",ROUND(XLOOKUP(D358, FLATTEN(B$1:E357), FLATTEN(O$1:R357), 500, 0, -1)))"),"")</f>
        <v/>
      </c>
      <c r="J358" s="9" t="str">
        <f>IFERROR(__xludf.DUMMYFUNCTION("IF(E358="""","""",ROUND(XLOOKUP(E358, FLATTEN(B$1:E357), FLATTEN(O$1:R357), 500, 0, -1)))"),"")</f>
        <v/>
      </c>
      <c r="K358" s="9" t="str">
        <f t="shared" si="2"/>
        <v/>
      </c>
      <c r="L358" s="9" t="str">
        <f t="shared" si="3"/>
        <v/>
      </c>
      <c r="M358" s="32" t="str">
        <f t="shared" si="4"/>
        <v/>
      </c>
      <c r="N358" s="9" t="str">
        <f t="shared" si="5"/>
        <v/>
      </c>
      <c r="O358" s="9" t="str">
        <f t="shared" si="6"/>
        <v/>
      </c>
      <c r="P358" s="9" t="str">
        <f t="shared" si="7"/>
        <v/>
      </c>
      <c r="Q358" s="9" t="str">
        <f t="shared" si="8"/>
        <v/>
      </c>
      <c r="R358" s="9" t="str">
        <f t="shared" si="9"/>
        <v/>
      </c>
    </row>
    <row r="359">
      <c r="A359" s="1" t="str">
        <f t="shared" si="1"/>
        <v/>
      </c>
      <c r="G359" s="9" t="str">
        <f>IFERROR(__xludf.DUMMYFUNCTION("IF(B359="""","""",ROUND(XLOOKUP(B359, FLATTEN(B$1:E358), FLATTEN(O$1:R358), 500, 0, -1)))"),"")</f>
        <v/>
      </c>
      <c r="H359" s="9" t="str">
        <f>IFERROR(__xludf.DUMMYFUNCTION("IF(C359="""","""",ROUND(XLOOKUP(C359, FLATTEN(B$1:E358), FLATTEN(O$1:R358), 500, 0, -1)))"),"")</f>
        <v/>
      </c>
      <c r="I359" s="9" t="str">
        <f>IFERROR(__xludf.DUMMYFUNCTION("IF(D359="""","""",ROUND(XLOOKUP(D359, FLATTEN(B$1:E358), FLATTEN(O$1:R358), 500, 0, -1)))"),"")</f>
        <v/>
      </c>
      <c r="J359" s="9" t="str">
        <f>IFERROR(__xludf.DUMMYFUNCTION("IF(E359="""","""",ROUND(XLOOKUP(E359, FLATTEN(B$1:E358), FLATTEN(O$1:R358), 500, 0, -1)))"),"")</f>
        <v/>
      </c>
      <c r="K359" s="9" t="str">
        <f t="shared" si="2"/>
        <v/>
      </c>
      <c r="L359" s="9" t="str">
        <f t="shared" si="3"/>
        <v/>
      </c>
      <c r="M359" s="32" t="str">
        <f t="shared" si="4"/>
        <v/>
      </c>
      <c r="N359" s="9" t="str">
        <f t="shared" si="5"/>
        <v/>
      </c>
      <c r="O359" s="9" t="str">
        <f t="shared" si="6"/>
        <v/>
      </c>
      <c r="P359" s="9" t="str">
        <f t="shared" si="7"/>
        <v/>
      </c>
      <c r="Q359" s="9" t="str">
        <f t="shared" si="8"/>
        <v/>
      </c>
      <c r="R359" s="9" t="str">
        <f t="shared" si="9"/>
        <v/>
      </c>
    </row>
    <row r="360">
      <c r="A360" s="1" t="str">
        <f t="shared" si="1"/>
        <v/>
      </c>
      <c r="G360" s="9" t="str">
        <f>IFERROR(__xludf.DUMMYFUNCTION("IF(B360="""","""",ROUND(XLOOKUP(B360, FLATTEN(B$1:E359), FLATTEN(O$1:R359), 500, 0, -1)))"),"")</f>
        <v/>
      </c>
      <c r="H360" s="9" t="str">
        <f>IFERROR(__xludf.DUMMYFUNCTION("IF(C360="""","""",ROUND(XLOOKUP(C360, FLATTEN(B$1:E359), FLATTEN(O$1:R359), 500, 0, -1)))"),"")</f>
        <v/>
      </c>
      <c r="I360" s="9" t="str">
        <f>IFERROR(__xludf.DUMMYFUNCTION("IF(D360="""","""",ROUND(XLOOKUP(D360, FLATTEN(B$1:E359), FLATTEN(O$1:R359), 500, 0, -1)))"),"")</f>
        <v/>
      </c>
      <c r="J360" s="9" t="str">
        <f>IFERROR(__xludf.DUMMYFUNCTION("IF(E360="""","""",ROUND(XLOOKUP(E360, FLATTEN(B$1:E359), FLATTEN(O$1:R359), 500, 0, -1)))"),"")</f>
        <v/>
      </c>
      <c r="K360" s="9" t="str">
        <f t="shared" si="2"/>
        <v/>
      </c>
      <c r="L360" s="9" t="str">
        <f t="shared" si="3"/>
        <v/>
      </c>
      <c r="M360" s="32" t="str">
        <f t="shared" si="4"/>
        <v/>
      </c>
      <c r="N360" s="9" t="str">
        <f t="shared" si="5"/>
        <v/>
      </c>
      <c r="O360" s="9" t="str">
        <f t="shared" si="6"/>
        <v/>
      </c>
      <c r="P360" s="9" t="str">
        <f t="shared" si="7"/>
        <v/>
      </c>
      <c r="Q360" s="9" t="str">
        <f t="shared" si="8"/>
        <v/>
      </c>
      <c r="R360" s="9" t="str">
        <f t="shared" si="9"/>
        <v/>
      </c>
    </row>
    <row r="361">
      <c r="A361" s="1" t="str">
        <f t="shared" si="1"/>
        <v/>
      </c>
      <c r="G361" s="9" t="str">
        <f>IFERROR(__xludf.DUMMYFUNCTION("IF(B361="""","""",ROUND(XLOOKUP(B361, FLATTEN(B$1:E360), FLATTEN(O$1:R360), 500, 0, -1)))"),"")</f>
        <v/>
      </c>
      <c r="H361" s="9" t="str">
        <f>IFERROR(__xludf.DUMMYFUNCTION("IF(C361="""","""",ROUND(XLOOKUP(C361, FLATTEN(B$1:E360), FLATTEN(O$1:R360), 500, 0, -1)))"),"")</f>
        <v/>
      </c>
      <c r="I361" s="9" t="str">
        <f>IFERROR(__xludf.DUMMYFUNCTION("IF(D361="""","""",ROUND(XLOOKUP(D361, FLATTEN(B$1:E360), FLATTEN(O$1:R360), 500, 0, -1)))"),"")</f>
        <v/>
      </c>
      <c r="J361" s="9" t="str">
        <f>IFERROR(__xludf.DUMMYFUNCTION("IF(E361="""","""",ROUND(XLOOKUP(E361, FLATTEN(B$1:E360), FLATTEN(O$1:R360), 500, 0, -1)))"),"")</f>
        <v/>
      </c>
      <c r="K361" s="9" t="str">
        <f t="shared" si="2"/>
        <v/>
      </c>
      <c r="L361" s="9" t="str">
        <f t="shared" si="3"/>
        <v/>
      </c>
      <c r="M361" s="32" t="str">
        <f t="shared" si="4"/>
        <v/>
      </c>
      <c r="N361" s="9" t="str">
        <f t="shared" si="5"/>
        <v/>
      </c>
      <c r="O361" s="9" t="str">
        <f t="shared" si="6"/>
        <v/>
      </c>
      <c r="P361" s="9" t="str">
        <f t="shared" si="7"/>
        <v/>
      </c>
      <c r="Q361" s="9" t="str">
        <f t="shared" si="8"/>
        <v/>
      </c>
      <c r="R361" s="9" t="str">
        <f t="shared" si="9"/>
        <v/>
      </c>
    </row>
    <row r="362">
      <c r="A362" s="1" t="str">
        <f t="shared" si="1"/>
        <v/>
      </c>
      <c r="G362" s="9" t="str">
        <f>IFERROR(__xludf.DUMMYFUNCTION("IF(B362="""","""",ROUND(XLOOKUP(B362, FLATTEN(B$1:E361), FLATTEN(O$1:R361), 500, 0, -1)))"),"")</f>
        <v/>
      </c>
      <c r="H362" s="9" t="str">
        <f>IFERROR(__xludf.DUMMYFUNCTION("IF(C362="""","""",ROUND(XLOOKUP(C362, FLATTEN(B$1:E361), FLATTEN(O$1:R361), 500, 0, -1)))"),"")</f>
        <v/>
      </c>
      <c r="I362" s="9" t="str">
        <f>IFERROR(__xludf.DUMMYFUNCTION("IF(D362="""","""",ROUND(XLOOKUP(D362, FLATTEN(B$1:E361), FLATTEN(O$1:R361), 500, 0, -1)))"),"")</f>
        <v/>
      </c>
      <c r="J362" s="9" t="str">
        <f>IFERROR(__xludf.DUMMYFUNCTION("IF(E362="""","""",ROUND(XLOOKUP(E362, FLATTEN(B$1:E361), FLATTEN(O$1:R361), 500, 0, -1)))"),"")</f>
        <v/>
      </c>
      <c r="K362" s="9" t="str">
        <f t="shared" si="2"/>
        <v/>
      </c>
      <c r="L362" s="9" t="str">
        <f t="shared" si="3"/>
        <v/>
      </c>
      <c r="M362" s="32" t="str">
        <f t="shared" si="4"/>
        <v/>
      </c>
      <c r="N362" s="9" t="str">
        <f t="shared" si="5"/>
        <v/>
      </c>
      <c r="O362" s="9" t="str">
        <f t="shared" si="6"/>
        <v/>
      </c>
      <c r="P362" s="9" t="str">
        <f t="shared" si="7"/>
        <v/>
      </c>
      <c r="Q362" s="9" t="str">
        <f t="shared" si="8"/>
        <v/>
      </c>
      <c r="R362" s="9" t="str">
        <f t="shared" si="9"/>
        <v/>
      </c>
    </row>
    <row r="363">
      <c r="A363" s="1" t="str">
        <f t="shared" si="1"/>
        <v/>
      </c>
      <c r="G363" s="9" t="str">
        <f>IFERROR(__xludf.DUMMYFUNCTION("IF(B363="""","""",ROUND(XLOOKUP(B363, FLATTEN(B$1:E362), FLATTEN(O$1:R362), 500, 0, -1)))"),"")</f>
        <v/>
      </c>
      <c r="H363" s="9" t="str">
        <f>IFERROR(__xludf.DUMMYFUNCTION("IF(C363="""","""",ROUND(XLOOKUP(C363, FLATTEN(B$1:E362), FLATTEN(O$1:R362), 500, 0, -1)))"),"")</f>
        <v/>
      </c>
      <c r="I363" s="9" t="str">
        <f>IFERROR(__xludf.DUMMYFUNCTION("IF(D363="""","""",ROUND(XLOOKUP(D363, FLATTEN(B$1:E362), FLATTEN(O$1:R362), 500, 0, -1)))"),"")</f>
        <v/>
      </c>
      <c r="J363" s="9" t="str">
        <f>IFERROR(__xludf.DUMMYFUNCTION("IF(E363="""","""",ROUND(XLOOKUP(E363, FLATTEN(B$1:E362), FLATTEN(O$1:R362), 500, 0, -1)))"),"")</f>
        <v/>
      </c>
      <c r="K363" s="9" t="str">
        <f t="shared" si="2"/>
        <v/>
      </c>
      <c r="L363" s="9" t="str">
        <f t="shared" si="3"/>
        <v/>
      </c>
      <c r="M363" s="32" t="str">
        <f t="shared" si="4"/>
        <v/>
      </c>
      <c r="N363" s="9" t="str">
        <f t="shared" si="5"/>
        <v/>
      </c>
      <c r="O363" s="9" t="str">
        <f t="shared" si="6"/>
        <v/>
      </c>
      <c r="P363" s="9" t="str">
        <f t="shared" si="7"/>
        <v/>
      </c>
      <c r="Q363" s="9" t="str">
        <f t="shared" si="8"/>
        <v/>
      </c>
      <c r="R363" s="9" t="str">
        <f t="shared" si="9"/>
        <v/>
      </c>
    </row>
    <row r="364">
      <c r="A364" s="1" t="str">
        <f t="shared" si="1"/>
        <v/>
      </c>
      <c r="G364" s="9" t="str">
        <f>IFERROR(__xludf.DUMMYFUNCTION("IF(B364="""","""",ROUND(XLOOKUP(B364, FLATTEN(B$1:E363), FLATTEN(O$1:R363), 500, 0, -1)))"),"")</f>
        <v/>
      </c>
      <c r="H364" s="9" t="str">
        <f>IFERROR(__xludf.DUMMYFUNCTION("IF(C364="""","""",ROUND(XLOOKUP(C364, FLATTEN(B$1:E363), FLATTEN(O$1:R363), 500, 0, -1)))"),"")</f>
        <v/>
      </c>
      <c r="I364" s="9" t="str">
        <f>IFERROR(__xludf.DUMMYFUNCTION("IF(D364="""","""",ROUND(XLOOKUP(D364, FLATTEN(B$1:E363), FLATTEN(O$1:R363), 500, 0, -1)))"),"")</f>
        <v/>
      </c>
      <c r="J364" s="9" t="str">
        <f>IFERROR(__xludf.DUMMYFUNCTION("IF(E364="""","""",ROUND(XLOOKUP(E364, FLATTEN(B$1:E363), FLATTEN(O$1:R363), 500, 0, -1)))"),"")</f>
        <v/>
      </c>
      <c r="K364" s="9" t="str">
        <f t="shared" si="2"/>
        <v/>
      </c>
      <c r="L364" s="9" t="str">
        <f t="shared" si="3"/>
        <v/>
      </c>
      <c r="M364" s="32" t="str">
        <f t="shared" si="4"/>
        <v/>
      </c>
      <c r="N364" s="9" t="str">
        <f t="shared" si="5"/>
        <v/>
      </c>
      <c r="O364" s="9" t="str">
        <f t="shared" si="6"/>
        <v/>
      </c>
      <c r="P364" s="9" t="str">
        <f t="shared" si="7"/>
        <v/>
      </c>
      <c r="Q364" s="9" t="str">
        <f t="shared" si="8"/>
        <v/>
      </c>
      <c r="R364" s="9" t="str">
        <f t="shared" si="9"/>
        <v/>
      </c>
    </row>
    <row r="365">
      <c r="A365" s="1" t="str">
        <f t="shared" si="1"/>
        <v/>
      </c>
      <c r="G365" s="9" t="str">
        <f>IFERROR(__xludf.DUMMYFUNCTION("IF(B365="""","""",ROUND(XLOOKUP(B365, FLATTEN(B$1:E364), FLATTEN(O$1:R364), 500, 0, -1)))"),"")</f>
        <v/>
      </c>
      <c r="H365" s="9" t="str">
        <f>IFERROR(__xludf.DUMMYFUNCTION("IF(C365="""","""",ROUND(XLOOKUP(C365, FLATTEN(B$1:E364), FLATTEN(O$1:R364), 500, 0, -1)))"),"")</f>
        <v/>
      </c>
      <c r="I365" s="9" t="str">
        <f>IFERROR(__xludf.DUMMYFUNCTION("IF(D365="""","""",ROUND(XLOOKUP(D365, FLATTEN(B$1:E364), FLATTEN(O$1:R364), 500, 0, -1)))"),"")</f>
        <v/>
      </c>
      <c r="J365" s="9" t="str">
        <f>IFERROR(__xludf.DUMMYFUNCTION("IF(E365="""","""",ROUND(XLOOKUP(E365, FLATTEN(B$1:E364), FLATTEN(O$1:R364), 500, 0, -1)))"),"")</f>
        <v/>
      </c>
      <c r="K365" s="9" t="str">
        <f t="shared" si="2"/>
        <v/>
      </c>
      <c r="L365" s="9" t="str">
        <f t="shared" si="3"/>
        <v/>
      </c>
      <c r="M365" s="32" t="str">
        <f t="shared" si="4"/>
        <v/>
      </c>
      <c r="N365" s="9" t="str">
        <f t="shared" si="5"/>
        <v/>
      </c>
      <c r="O365" s="9" t="str">
        <f t="shared" si="6"/>
        <v/>
      </c>
      <c r="P365" s="9" t="str">
        <f t="shared" si="7"/>
        <v/>
      </c>
      <c r="Q365" s="9" t="str">
        <f t="shared" si="8"/>
        <v/>
      </c>
      <c r="R365" s="9" t="str">
        <f t="shared" si="9"/>
        <v/>
      </c>
    </row>
    <row r="366">
      <c r="A366" s="1" t="str">
        <f t="shared" si="1"/>
        <v/>
      </c>
      <c r="G366" s="9" t="str">
        <f>IFERROR(__xludf.DUMMYFUNCTION("IF(B366="""","""",ROUND(XLOOKUP(B366, FLATTEN(B$1:E365), FLATTEN(O$1:R365), 500, 0, -1)))"),"")</f>
        <v/>
      </c>
      <c r="H366" s="9" t="str">
        <f>IFERROR(__xludf.DUMMYFUNCTION("IF(C366="""","""",ROUND(XLOOKUP(C366, FLATTEN(B$1:E365), FLATTEN(O$1:R365), 500, 0, -1)))"),"")</f>
        <v/>
      </c>
      <c r="I366" s="9" t="str">
        <f>IFERROR(__xludf.DUMMYFUNCTION("IF(D366="""","""",ROUND(XLOOKUP(D366, FLATTEN(B$1:E365), FLATTEN(O$1:R365), 500, 0, -1)))"),"")</f>
        <v/>
      </c>
      <c r="J366" s="9" t="str">
        <f>IFERROR(__xludf.DUMMYFUNCTION("IF(E366="""","""",ROUND(XLOOKUP(E366, FLATTEN(B$1:E365), FLATTEN(O$1:R365), 500, 0, -1)))"),"")</f>
        <v/>
      </c>
      <c r="K366" s="9" t="str">
        <f t="shared" si="2"/>
        <v/>
      </c>
      <c r="L366" s="9" t="str">
        <f t="shared" si="3"/>
        <v/>
      </c>
      <c r="M366" s="32" t="str">
        <f t="shared" si="4"/>
        <v/>
      </c>
      <c r="N366" s="9" t="str">
        <f t="shared" si="5"/>
        <v/>
      </c>
      <c r="O366" s="9" t="str">
        <f t="shared" si="6"/>
        <v/>
      </c>
      <c r="P366" s="9" t="str">
        <f t="shared" si="7"/>
        <v/>
      </c>
      <c r="Q366" s="9" t="str">
        <f t="shared" si="8"/>
        <v/>
      </c>
      <c r="R366" s="9" t="str">
        <f t="shared" si="9"/>
        <v/>
      </c>
    </row>
    <row r="367">
      <c r="A367" s="1" t="str">
        <f t="shared" si="1"/>
        <v/>
      </c>
      <c r="G367" s="9" t="str">
        <f>IFERROR(__xludf.DUMMYFUNCTION("IF(B367="""","""",ROUND(XLOOKUP(B367, FLATTEN(B$1:E366), FLATTEN(O$1:R366), 500, 0, -1)))"),"")</f>
        <v/>
      </c>
      <c r="H367" s="9" t="str">
        <f>IFERROR(__xludf.DUMMYFUNCTION("IF(C367="""","""",ROUND(XLOOKUP(C367, FLATTEN(B$1:E366), FLATTEN(O$1:R366), 500, 0, -1)))"),"")</f>
        <v/>
      </c>
      <c r="I367" s="9" t="str">
        <f>IFERROR(__xludf.DUMMYFUNCTION("IF(D367="""","""",ROUND(XLOOKUP(D367, FLATTEN(B$1:E366), FLATTEN(O$1:R366), 500, 0, -1)))"),"")</f>
        <v/>
      </c>
      <c r="J367" s="9" t="str">
        <f>IFERROR(__xludf.DUMMYFUNCTION("IF(E367="""","""",ROUND(XLOOKUP(E367, FLATTEN(B$1:E366), FLATTEN(O$1:R366), 500, 0, -1)))"),"")</f>
        <v/>
      </c>
      <c r="K367" s="9" t="str">
        <f t="shared" si="2"/>
        <v/>
      </c>
      <c r="L367" s="9" t="str">
        <f t="shared" si="3"/>
        <v/>
      </c>
      <c r="M367" s="32" t="str">
        <f t="shared" si="4"/>
        <v/>
      </c>
      <c r="N367" s="9" t="str">
        <f t="shared" si="5"/>
        <v/>
      </c>
      <c r="O367" s="9" t="str">
        <f t="shared" si="6"/>
        <v/>
      </c>
      <c r="P367" s="9" t="str">
        <f t="shared" si="7"/>
        <v/>
      </c>
      <c r="Q367" s="9" t="str">
        <f t="shared" si="8"/>
        <v/>
      </c>
      <c r="R367" s="9" t="str">
        <f t="shared" si="9"/>
        <v/>
      </c>
    </row>
    <row r="368">
      <c r="A368" s="1" t="str">
        <f t="shared" si="1"/>
        <v/>
      </c>
      <c r="G368" s="9" t="str">
        <f>IFERROR(__xludf.DUMMYFUNCTION("IF(B368="""","""",ROUND(XLOOKUP(B368, FLATTEN(B$1:E367), FLATTEN(O$1:R367), 500, 0, -1)))"),"")</f>
        <v/>
      </c>
      <c r="H368" s="9" t="str">
        <f>IFERROR(__xludf.DUMMYFUNCTION("IF(C368="""","""",ROUND(XLOOKUP(C368, FLATTEN(B$1:E367), FLATTEN(O$1:R367), 500, 0, -1)))"),"")</f>
        <v/>
      </c>
      <c r="I368" s="9" t="str">
        <f>IFERROR(__xludf.DUMMYFUNCTION("IF(D368="""","""",ROUND(XLOOKUP(D368, FLATTEN(B$1:E367), FLATTEN(O$1:R367), 500, 0, -1)))"),"")</f>
        <v/>
      </c>
      <c r="J368" s="9" t="str">
        <f>IFERROR(__xludf.DUMMYFUNCTION("IF(E368="""","""",ROUND(XLOOKUP(E368, FLATTEN(B$1:E367), FLATTEN(O$1:R367), 500, 0, -1)))"),"")</f>
        <v/>
      </c>
      <c r="K368" s="9" t="str">
        <f t="shared" si="2"/>
        <v/>
      </c>
      <c r="L368" s="9" t="str">
        <f t="shared" si="3"/>
        <v/>
      </c>
      <c r="M368" s="32" t="str">
        <f t="shared" si="4"/>
        <v/>
      </c>
      <c r="N368" s="9" t="str">
        <f t="shared" si="5"/>
        <v/>
      </c>
      <c r="O368" s="9" t="str">
        <f t="shared" si="6"/>
        <v/>
      </c>
      <c r="P368" s="9" t="str">
        <f t="shared" si="7"/>
        <v/>
      </c>
      <c r="Q368" s="9" t="str">
        <f t="shared" si="8"/>
        <v/>
      </c>
      <c r="R368" s="9" t="str">
        <f t="shared" si="9"/>
        <v/>
      </c>
    </row>
    <row r="369">
      <c r="A369" s="1" t="str">
        <f t="shared" si="1"/>
        <v/>
      </c>
      <c r="G369" s="9" t="str">
        <f>IFERROR(__xludf.DUMMYFUNCTION("IF(B369="""","""",ROUND(XLOOKUP(B369, FLATTEN(B$1:E368), FLATTEN(O$1:R368), 500, 0, -1)))"),"")</f>
        <v/>
      </c>
      <c r="H369" s="9" t="str">
        <f>IFERROR(__xludf.DUMMYFUNCTION("IF(C369="""","""",ROUND(XLOOKUP(C369, FLATTEN(B$1:E368), FLATTEN(O$1:R368), 500, 0, -1)))"),"")</f>
        <v/>
      </c>
      <c r="I369" s="9" t="str">
        <f>IFERROR(__xludf.DUMMYFUNCTION("IF(D369="""","""",ROUND(XLOOKUP(D369, FLATTEN(B$1:E368), FLATTEN(O$1:R368), 500, 0, -1)))"),"")</f>
        <v/>
      </c>
      <c r="J369" s="9" t="str">
        <f>IFERROR(__xludf.DUMMYFUNCTION("IF(E369="""","""",ROUND(XLOOKUP(E369, FLATTEN(B$1:E368), FLATTEN(O$1:R368), 500, 0, -1)))"),"")</f>
        <v/>
      </c>
      <c r="K369" s="9" t="str">
        <f t="shared" si="2"/>
        <v/>
      </c>
      <c r="L369" s="9" t="str">
        <f t="shared" si="3"/>
        <v/>
      </c>
      <c r="M369" s="32" t="str">
        <f t="shared" si="4"/>
        <v/>
      </c>
      <c r="N369" s="9" t="str">
        <f t="shared" si="5"/>
        <v/>
      </c>
      <c r="O369" s="9" t="str">
        <f t="shared" si="6"/>
        <v/>
      </c>
      <c r="P369" s="9" t="str">
        <f t="shared" si="7"/>
        <v/>
      </c>
      <c r="Q369" s="9" t="str">
        <f t="shared" si="8"/>
        <v/>
      </c>
      <c r="R369" s="9" t="str">
        <f t="shared" si="9"/>
        <v/>
      </c>
    </row>
    <row r="370">
      <c r="A370" s="1" t="str">
        <f t="shared" si="1"/>
        <v/>
      </c>
      <c r="G370" s="9" t="str">
        <f>IFERROR(__xludf.DUMMYFUNCTION("IF(B370="""","""",ROUND(XLOOKUP(B370, FLATTEN(B$1:E369), FLATTEN(O$1:R369), 500, 0, -1)))"),"")</f>
        <v/>
      </c>
      <c r="H370" s="9" t="str">
        <f>IFERROR(__xludf.DUMMYFUNCTION("IF(C370="""","""",ROUND(XLOOKUP(C370, FLATTEN(B$1:E369), FLATTEN(O$1:R369), 500, 0, -1)))"),"")</f>
        <v/>
      </c>
      <c r="I370" s="9" t="str">
        <f>IFERROR(__xludf.DUMMYFUNCTION("IF(D370="""","""",ROUND(XLOOKUP(D370, FLATTEN(B$1:E369), FLATTEN(O$1:R369), 500, 0, -1)))"),"")</f>
        <v/>
      </c>
      <c r="J370" s="9" t="str">
        <f>IFERROR(__xludf.DUMMYFUNCTION("IF(E370="""","""",ROUND(XLOOKUP(E370, FLATTEN(B$1:E369), FLATTEN(O$1:R369), 500, 0, -1)))"),"")</f>
        <v/>
      </c>
      <c r="K370" s="9" t="str">
        <f t="shared" si="2"/>
        <v/>
      </c>
      <c r="L370" s="9" t="str">
        <f t="shared" si="3"/>
        <v/>
      </c>
      <c r="M370" s="32" t="str">
        <f t="shared" si="4"/>
        <v/>
      </c>
      <c r="N370" s="9" t="str">
        <f t="shared" si="5"/>
        <v/>
      </c>
      <c r="O370" s="9" t="str">
        <f t="shared" si="6"/>
        <v/>
      </c>
      <c r="P370" s="9" t="str">
        <f t="shared" si="7"/>
        <v/>
      </c>
      <c r="Q370" s="9" t="str">
        <f t="shared" si="8"/>
        <v/>
      </c>
      <c r="R370" s="9" t="str">
        <f t="shared" si="9"/>
        <v/>
      </c>
    </row>
    <row r="371">
      <c r="A371" s="1" t="str">
        <f t="shared" si="1"/>
        <v/>
      </c>
      <c r="G371" s="9" t="str">
        <f>IFERROR(__xludf.DUMMYFUNCTION("IF(B371="""","""",ROUND(XLOOKUP(B371, FLATTEN(B$1:E370), FLATTEN(O$1:R370), 500, 0, -1)))"),"")</f>
        <v/>
      </c>
      <c r="H371" s="9" t="str">
        <f>IFERROR(__xludf.DUMMYFUNCTION("IF(C371="""","""",ROUND(XLOOKUP(C371, FLATTEN(B$1:E370), FLATTEN(O$1:R370), 500, 0, -1)))"),"")</f>
        <v/>
      </c>
      <c r="I371" s="9" t="str">
        <f>IFERROR(__xludf.DUMMYFUNCTION("IF(D371="""","""",ROUND(XLOOKUP(D371, FLATTEN(B$1:E370), FLATTEN(O$1:R370), 500, 0, -1)))"),"")</f>
        <v/>
      </c>
      <c r="J371" s="9" t="str">
        <f>IFERROR(__xludf.DUMMYFUNCTION("IF(E371="""","""",ROUND(XLOOKUP(E371, FLATTEN(B$1:E370), FLATTEN(O$1:R370), 500, 0, -1)))"),"")</f>
        <v/>
      </c>
      <c r="K371" s="9" t="str">
        <f t="shared" si="2"/>
        <v/>
      </c>
      <c r="L371" s="9" t="str">
        <f t="shared" si="3"/>
        <v/>
      </c>
      <c r="M371" s="32" t="str">
        <f t="shared" si="4"/>
        <v/>
      </c>
      <c r="N371" s="9" t="str">
        <f t="shared" si="5"/>
        <v/>
      </c>
      <c r="O371" s="9" t="str">
        <f t="shared" si="6"/>
        <v/>
      </c>
      <c r="P371" s="9" t="str">
        <f t="shared" si="7"/>
        <v/>
      </c>
      <c r="Q371" s="9" t="str">
        <f t="shared" si="8"/>
        <v/>
      </c>
      <c r="R371" s="9" t="str">
        <f t="shared" si="9"/>
        <v/>
      </c>
    </row>
    <row r="372">
      <c r="A372" s="1" t="str">
        <f t="shared" si="1"/>
        <v/>
      </c>
      <c r="G372" s="9" t="str">
        <f>IFERROR(__xludf.DUMMYFUNCTION("IF(B372="""","""",ROUND(XLOOKUP(B372, FLATTEN(B$1:E371), FLATTEN(O$1:R371), 500, 0, -1)))"),"")</f>
        <v/>
      </c>
      <c r="H372" s="9" t="str">
        <f>IFERROR(__xludf.DUMMYFUNCTION("IF(C372="""","""",ROUND(XLOOKUP(C372, FLATTEN(B$1:E371), FLATTEN(O$1:R371), 500, 0, -1)))"),"")</f>
        <v/>
      </c>
      <c r="I372" s="9" t="str">
        <f>IFERROR(__xludf.DUMMYFUNCTION("IF(D372="""","""",ROUND(XLOOKUP(D372, FLATTEN(B$1:E371), FLATTEN(O$1:R371), 500, 0, -1)))"),"")</f>
        <v/>
      </c>
      <c r="J372" s="9" t="str">
        <f>IFERROR(__xludf.DUMMYFUNCTION("IF(E372="""","""",ROUND(XLOOKUP(E372, FLATTEN(B$1:E371), FLATTEN(O$1:R371), 500, 0, -1)))"),"")</f>
        <v/>
      </c>
      <c r="K372" s="9" t="str">
        <f t="shared" si="2"/>
        <v/>
      </c>
      <c r="L372" s="9" t="str">
        <f t="shared" si="3"/>
        <v/>
      </c>
      <c r="M372" s="32" t="str">
        <f t="shared" si="4"/>
        <v/>
      </c>
      <c r="N372" s="9" t="str">
        <f t="shared" si="5"/>
        <v/>
      </c>
      <c r="O372" s="9" t="str">
        <f t="shared" si="6"/>
        <v/>
      </c>
      <c r="P372" s="9" t="str">
        <f t="shared" si="7"/>
        <v/>
      </c>
      <c r="Q372" s="9" t="str">
        <f t="shared" si="8"/>
        <v/>
      </c>
      <c r="R372" s="9" t="str">
        <f t="shared" si="9"/>
        <v/>
      </c>
    </row>
    <row r="373">
      <c r="A373" s="1" t="str">
        <f t="shared" si="1"/>
        <v/>
      </c>
      <c r="G373" s="9" t="str">
        <f>IFERROR(__xludf.DUMMYFUNCTION("IF(B373="""","""",ROUND(XLOOKUP(B373, FLATTEN(B$1:E372), FLATTEN(O$1:R372), 500, 0, -1)))"),"")</f>
        <v/>
      </c>
      <c r="H373" s="9" t="str">
        <f>IFERROR(__xludf.DUMMYFUNCTION("IF(C373="""","""",ROUND(XLOOKUP(C373, FLATTEN(B$1:E372), FLATTEN(O$1:R372), 500, 0, -1)))"),"")</f>
        <v/>
      </c>
      <c r="I373" s="9" t="str">
        <f>IFERROR(__xludf.DUMMYFUNCTION("IF(D373="""","""",ROUND(XLOOKUP(D373, FLATTEN(B$1:E372), FLATTEN(O$1:R372), 500, 0, -1)))"),"")</f>
        <v/>
      </c>
      <c r="J373" s="9" t="str">
        <f>IFERROR(__xludf.DUMMYFUNCTION("IF(E373="""","""",ROUND(XLOOKUP(E373, FLATTEN(B$1:E372), FLATTEN(O$1:R372), 500, 0, -1)))"),"")</f>
        <v/>
      </c>
      <c r="K373" s="9" t="str">
        <f t="shared" si="2"/>
        <v/>
      </c>
      <c r="L373" s="9" t="str">
        <f t="shared" si="3"/>
        <v/>
      </c>
      <c r="M373" s="32" t="str">
        <f t="shared" si="4"/>
        <v/>
      </c>
      <c r="N373" s="9" t="str">
        <f t="shared" si="5"/>
        <v/>
      </c>
      <c r="O373" s="9" t="str">
        <f t="shared" si="6"/>
        <v/>
      </c>
      <c r="P373" s="9" t="str">
        <f t="shared" si="7"/>
        <v/>
      </c>
      <c r="Q373" s="9" t="str">
        <f t="shared" si="8"/>
        <v/>
      </c>
      <c r="R373" s="9" t="str">
        <f t="shared" si="9"/>
        <v/>
      </c>
    </row>
    <row r="374">
      <c r="A374" s="1" t="str">
        <f t="shared" si="1"/>
        <v/>
      </c>
      <c r="G374" s="9" t="str">
        <f>IFERROR(__xludf.DUMMYFUNCTION("IF(B374="""","""",ROUND(XLOOKUP(B374, FLATTEN(B$1:E373), FLATTEN(O$1:R373), 500, 0, -1)))"),"")</f>
        <v/>
      </c>
      <c r="H374" s="9" t="str">
        <f>IFERROR(__xludf.DUMMYFUNCTION("IF(C374="""","""",ROUND(XLOOKUP(C374, FLATTEN(B$1:E373), FLATTEN(O$1:R373), 500, 0, -1)))"),"")</f>
        <v/>
      </c>
      <c r="I374" s="9" t="str">
        <f>IFERROR(__xludf.DUMMYFUNCTION("IF(D374="""","""",ROUND(XLOOKUP(D374, FLATTEN(B$1:E373), FLATTEN(O$1:R373), 500, 0, -1)))"),"")</f>
        <v/>
      </c>
      <c r="J374" s="9" t="str">
        <f>IFERROR(__xludf.DUMMYFUNCTION("IF(E374="""","""",ROUND(XLOOKUP(E374, FLATTEN(B$1:E373), FLATTEN(O$1:R373), 500, 0, -1)))"),"")</f>
        <v/>
      </c>
      <c r="K374" s="9" t="str">
        <f t="shared" si="2"/>
        <v/>
      </c>
      <c r="L374" s="9" t="str">
        <f t="shared" si="3"/>
        <v/>
      </c>
      <c r="M374" s="32" t="str">
        <f t="shared" si="4"/>
        <v/>
      </c>
      <c r="N374" s="9" t="str">
        <f t="shared" si="5"/>
        <v/>
      </c>
      <c r="O374" s="9" t="str">
        <f t="shared" si="6"/>
        <v/>
      </c>
      <c r="P374" s="9" t="str">
        <f t="shared" si="7"/>
        <v/>
      </c>
      <c r="Q374" s="9" t="str">
        <f t="shared" si="8"/>
        <v/>
      </c>
      <c r="R374" s="9" t="str">
        <f t="shared" si="9"/>
        <v/>
      </c>
    </row>
    <row r="375">
      <c r="A375" s="1" t="str">
        <f t="shared" si="1"/>
        <v/>
      </c>
      <c r="G375" s="9" t="str">
        <f>IFERROR(__xludf.DUMMYFUNCTION("IF(B375="""","""",ROUND(XLOOKUP(B375, FLATTEN(B$1:E374), FLATTEN(O$1:R374), 500, 0, -1)))"),"")</f>
        <v/>
      </c>
      <c r="H375" s="9" t="str">
        <f>IFERROR(__xludf.DUMMYFUNCTION("IF(C375="""","""",ROUND(XLOOKUP(C375, FLATTEN(B$1:E374), FLATTEN(O$1:R374), 500, 0, -1)))"),"")</f>
        <v/>
      </c>
      <c r="I375" s="9" t="str">
        <f>IFERROR(__xludf.DUMMYFUNCTION("IF(D375="""","""",ROUND(XLOOKUP(D375, FLATTEN(B$1:E374), FLATTEN(O$1:R374), 500, 0, -1)))"),"")</f>
        <v/>
      </c>
      <c r="J375" s="9" t="str">
        <f>IFERROR(__xludf.DUMMYFUNCTION("IF(E375="""","""",ROUND(XLOOKUP(E375, FLATTEN(B$1:E374), FLATTEN(O$1:R374), 500, 0, -1)))"),"")</f>
        <v/>
      </c>
      <c r="K375" s="9" t="str">
        <f t="shared" si="2"/>
        <v/>
      </c>
      <c r="L375" s="9" t="str">
        <f t="shared" si="3"/>
        <v/>
      </c>
      <c r="M375" s="32" t="str">
        <f t="shared" si="4"/>
        <v/>
      </c>
      <c r="N375" s="9" t="str">
        <f t="shared" si="5"/>
        <v/>
      </c>
      <c r="O375" s="9" t="str">
        <f t="shared" si="6"/>
        <v/>
      </c>
      <c r="P375" s="9" t="str">
        <f t="shared" si="7"/>
        <v/>
      </c>
      <c r="Q375" s="9" t="str">
        <f t="shared" si="8"/>
        <v/>
      </c>
      <c r="R375" s="9" t="str">
        <f t="shared" si="9"/>
        <v/>
      </c>
    </row>
    <row r="376">
      <c r="A376" s="1" t="str">
        <f t="shared" si="1"/>
        <v/>
      </c>
      <c r="G376" s="9" t="str">
        <f>IFERROR(__xludf.DUMMYFUNCTION("IF(B376="""","""",ROUND(XLOOKUP(B376, FLATTEN(B$1:E375), FLATTEN(O$1:R375), 500, 0, -1)))"),"")</f>
        <v/>
      </c>
      <c r="H376" s="9" t="str">
        <f>IFERROR(__xludf.DUMMYFUNCTION("IF(C376="""","""",ROUND(XLOOKUP(C376, FLATTEN(B$1:E375), FLATTEN(O$1:R375), 500, 0, -1)))"),"")</f>
        <v/>
      </c>
      <c r="I376" s="9" t="str">
        <f>IFERROR(__xludf.DUMMYFUNCTION("IF(D376="""","""",ROUND(XLOOKUP(D376, FLATTEN(B$1:E375), FLATTEN(O$1:R375), 500, 0, -1)))"),"")</f>
        <v/>
      </c>
      <c r="J376" s="9" t="str">
        <f>IFERROR(__xludf.DUMMYFUNCTION("IF(E376="""","""",ROUND(XLOOKUP(E376, FLATTEN(B$1:E375), FLATTEN(O$1:R375), 500, 0, -1)))"),"")</f>
        <v/>
      </c>
      <c r="K376" s="9" t="str">
        <f t="shared" si="2"/>
        <v/>
      </c>
      <c r="L376" s="9" t="str">
        <f t="shared" si="3"/>
        <v/>
      </c>
      <c r="M376" s="32" t="str">
        <f t="shared" si="4"/>
        <v/>
      </c>
      <c r="N376" s="9" t="str">
        <f t="shared" si="5"/>
        <v/>
      </c>
      <c r="O376" s="9" t="str">
        <f t="shared" si="6"/>
        <v/>
      </c>
      <c r="P376" s="9" t="str">
        <f t="shared" si="7"/>
        <v/>
      </c>
      <c r="Q376" s="9" t="str">
        <f t="shared" si="8"/>
        <v/>
      </c>
      <c r="R376" s="9" t="str">
        <f t="shared" si="9"/>
        <v/>
      </c>
    </row>
    <row r="377">
      <c r="A377" s="1" t="str">
        <f t="shared" si="1"/>
        <v/>
      </c>
      <c r="G377" s="9" t="str">
        <f>IFERROR(__xludf.DUMMYFUNCTION("IF(B377="""","""",ROUND(XLOOKUP(B377, FLATTEN(B$1:E376), FLATTEN(O$1:R376), 500, 0, -1)))"),"")</f>
        <v/>
      </c>
      <c r="H377" s="9" t="str">
        <f>IFERROR(__xludf.DUMMYFUNCTION("IF(C377="""","""",ROUND(XLOOKUP(C377, FLATTEN(B$1:E376), FLATTEN(O$1:R376), 500, 0, -1)))"),"")</f>
        <v/>
      </c>
      <c r="I377" s="9" t="str">
        <f>IFERROR(__xludf.DUMMYFUNCTION("IF(D377="""","""",ROUND(XLOOKUP(D377, FLATTEN(B$1:E376), FLATTEN(O$1:R376), 500, 0, -1)))"),"")</f>
        <v/>
      </c>
      <c r="J377" s="9" t="str">
        <f>IFERROR(__xludf.DUMMYFUNCTION("IF(E377="""","""",ROUND(XLOOKUP(E377, FLATTEN(B$1:E376), FLATTEN(O$1:R376), 500, 0, -1)))"),"")</f>
        <v/>
      </c>
      <c r="K377" s="9" t="str">
        <f t="shared" si="2"/>
        <v/>
      </c>
      <c r="L377" s="9" t="str">
        <f t="shared" si="3"/>
        <v/>
      </c>
      <c r="M377" s="32" t="str">
        <f t="shared" si="4"/>
        <v/>
      </c>
      <c r="N377" s="9" t="str">
        <f t="shared" si="5"/>
        <v/>
      </c>
      <c r="O377" s="9" t="str">
        <f t="shared" si="6"/>
        <v/>
      </c>
      <c r="P377" s="9" t="str">
        <f t="shared" si="7"/>
        <v/>
      </c>
      <c r="Q377" s="9" t="str">
        <f t="shared" si="8"/>
        <v/>
      </c>
      <c r="R377" s="9" t="str">
        <f t="shared" si="9"/>
        <v/>
      </c>
    </row>
    <row r="378">
      <c r="A378" s="1" t="str">
        <f t="shared" si="1"/>
        <v/>
      </c>
      <c r="G378" s="9" t="str">
        <f>IFERROR(__xludf.DUMMYFUNCTION("IF(B378="""","""",ROUND(XLOOKUP(B378, FLATTEN(B$1:E377), FLATTEN(O$1:R377), 500, 0, -1)))"),"")</f>
        <v/>
      </c>
      <c r="H378" s="9" t="str">
        <f>IFERROR(__xludf.DUMMYFUNCTION("IF(C378="""","""",ROUND(XLOOKUP(C378, FLATTEN(B$1:E377), FLATTEN(O$1:R377), 500, 0, -1)))"),"")</f>
        <v/>
      </c>
      <c r="I378" s="9" t="str">
        <f>IFERROR(__xludf.DUMMYFUNCTION("IF(D378="""","""",ROUND(XLOOKUP(D378, FLATTEN(B$1:E377), FLATTEN(O$1:R377), 500, 0, -1)))"),"")</f>
        <v/>
      </c>
      <c r="J378" s="9" t="str">
        <f>IFERROR(__xludf.DUMMYFUNCTION("IF(E378="""","""",ROUND(XLOOKUP(E378, FLATTEN(B$1:E377), FLATTEN(O$1:R377), 500, 0, -1)))"),"")</f>
        <v/>
      </c>
      <c r="K378" s="9" t="str">
        <f t="shared" si="2"/>
        <v/>
      </c>
      <c r="L378" s="9" t="str">
        <f t="shared" si="3"/>
        <v/>
      </c>
      <c r="M378" s="32" t="str">
        <f t="shared" si="4"/>
        <v/>
      </c>
      <c r="N378" s="9" t="str">
        <f t="shared" si="5"/>
        <v/>
      </c>
      <c r="O378" s="9" t="str">
        <f t="shared" si="6"/>
        <v/>
      </c>
      <c r="P378" s="9" t="str">
        <f t="shared" si="7"/>
        <v/>
      </c>
      <c r="Q378" s="9" t="str">
        <f t="shared" si="8"/>
        <v/>
      </c>
      <c r="R378" s="9" t="str">
        <f t="shared" si="9"/>
        <v/>
      </c>
    </row>
    <row r="379">
      <c r="A379" s="1" t="str">
        <f t="shared" si="1"/>
        <v/>
      </c>
      <c r="G379" s="9" t="str">
        <f>IFERROR(__xludf.DUMMYFUNCTION("IF(B379="""","""",ROUND(XLOOKUP(B379, FLATTEN(B$1:E378), FLATTEN(O$1:R378), 500, 0, -1)))"),"")</f>
        <v/>
      </c>
      <c r="H379" s="9" t="str">
        <f>IFERROR(__xludf.DUMMYFUNCTION("IF(C379="""","""",ROUND(XLOOKUP(C379, FLATTEN(B$1:E378), FLATTEN(O$1:R378), 500, 0, -1)))"),"")</f>
        <v/>
      </c>
      <c r="I379" s="9" t="str">
        <f>IFERROR(__xludf.DUMMYFUNCTION("IF(D379="""","""",ROUND(XLOOKUP(D379, FLATTEN(B$1:E378), FLATTEN(O$1:R378), 500, 0, -1)))"),"")</f>
        <v/>
      </c>
      <c r="J379" s="9" t="str">
        <f>IFERROR(__xludf.DUMMYFUNCTION("IF(E379="""","""",ROUND(XLOOKUP(E379, FLATTEN(B$1:E378), FLATTEN(O$1:R378), 500, 0, -1)))"),"")</f>
        <v/>
      </c>
      <c r="K379" s="9" t="str">
        <f t="shared" si="2"/>
        <v/>
      </c>
      <c r="L379" s="9" t="str">
        <f t="shared" si="3"/>
        <v/>
      </c>
      <c r="M379" s="32" t="str">
        <f t="shared" si="4"/>
        <v/>
      </c>
      <c r="N379" s="9" t="str">
        <f t="shared" si="5"/>
        <v/>
      </c>
      <c r="O379" s="9" t="str">
        <f t="shared" si="6"/>
        <v/>
      </c>
      <c r="P379" s="9" t="str">
        <f t="shared" si="7"/>
        <v/>
      </c>
      <c r="Q379" s="9" t="str">
        <f t="shared" si="8"/>
        <v/>
      </c>
      <c r="R379" s="9" t="str">
        <f t="shared" si="9"/>
        <v/>
      </c>
    </row>
    <row r="380">
      <c r="A380" s="1" t="str">
        <f t="shared" si="1"/>
        <v/>
      </c>
      <c r="G380" s="9" t="str">
        <f>IFERROR(__xludf.DUMMYFUNCTION("IF(B380="""","""",ROUND(XLOOKUP(B380, FLATTEN(B$1:E379), FLATTEN(O$1:R379), 500, 0, -1)))"),"")</f>
        <v/>
      </c>
      <c r="H380" s="9" t="str">
        <f>IFERROR(__xludf.DUMMYFUNCTION("IF(C380="""","""",ROUND(XLOOKUP(C380, FLATTEN(B$1:E379), FLATTEN(O$1:R379), 500, 0, -1)))"),"")</f>
        <v/>
      </c>
      <c r="I380" s="9" t="str">
        <f>IFERROR(__xludf.DUMMYFUNCTION("IF(D380="""","""",ROUND(XLOOKUP(D380, FLATTEN(B$1:E379), FLATTEN(O$1:R379), 500, 0, -1)))"),"")</f>
        <v/>
      </c>
      <c r="J380" s="9" t="str">
        <f>IFERROR(__xludf.DUMMYFUNCTION("IF(E380="""","""",ROUND(XLOOKUP(E380, FLATTEN(B$1:E379), FLATTEN(O$1:R379), 500, 0, -1)))"),"")</f>
        <v/>
      </c>
      <c r="K380" s="9" t="str">
        <f t="shared" si="2"/>
        <v/>
      </c>
      <c r="L380" s="9" t="str">
        <f t="shared" si="3"/>
        <v/>
      </c>
      <c r="M380" s="32" t="str">
        <f t="shared" si="4"/>
        <v/>
      </c>
      <c r="N380" s="9" t="str">
        <f t="shared" si="5"/>
        <v/>
      </c>
      <c r="O380" s="9" t="str">
        <f t="shared" si="6"/>
        <v/>
      </c>
      <c r="P380" s="9" t="str">
        <f t="shared" si="7"/>
        <v/>
      </c>
      <c r="Q380" s="9" t="str">
        <f t="shared" si="8"/>
        <v/>
      </c>
      <c r="R380" s="9" t="str">
        <f t="shared" si="9"/>
        <v/>
      </c>
    </row>
    <row r="381">
      <c r="A381" s="1" t="str">
        <f t="shared" si="1"/>
        <v/>
      </c>
      <c r="G381" s="9" t="str">
        <f>IFERROR(__xludf.DUMMYFUNCTION("IF(B381="""","""",ROUND(XLOOKUP(B381, FLATTEN(B$1:E380), FLATTEN(O$1:R380), 500, 0, -1)))"),"")</f>
        <v/>
      </c>
      <c r="H381" s="9" t="str">
        <f>IFERROR(__xludf.DUMMYFUNCTION("IF(C381="""","""",ROUND(XLOOKUP(C381, FLATTEN(B$1:E380), FLATTEN(O$1:R380), 500, 0, -1)))"),"")</f>
        <v/>
      </c>
      <c r="I381" s="9" t="str">
        <f>IFERROR(__xludf.DUMMYFUNCTION("IF(D381="""","""",ROUND(XLOOKUP(D381, FLATTEN(B$1:E380), FLATTEN(O$1:R380), 500, 0, -1)))"),"")</f>
        <v/>
      </c>
      <c r="J381" s="9" t="str">
        <f>IFERROR(__xludf.DUMMYFUNCTION("IF(E381="""","""",ROUND(XLOOKUP(E381, FLATTEN(B$1:E380), FLATTEN(O$1:R380), 500, 0, -1)))"),"")</f>
        <v/>
      </c>
      <c r="K381" s="9" t="str">
        <f t="shared" si="2"/>
        <v/>
      </c>
      <c r="L381" s="9" t="str">
        <f t="shared" si="3"/>
        <v/>
      </c>
      <c r="M381" s="32" t="str">
        <f t="shared" si="4"/>
        <v/>
      </c>
      <c r="N381" s="9" t="str">
        <f t="shared" si="5"/>
        <v/>
      </c>
      <c r="O381" s="9" t="str">
        <f t="shared" si="6"/>
        <v/>
      </c>
      <c r="P381" s="9" t="str">
        <f t="shared" si="7"/>
        <v/>
      </c>
      <c r="Q381" s="9" t="str">
        <f t="shared" si="8"/>
        <v/>
      </c>
      <c r="R381" s="9" t="str">
        <f t="shared" si="9"/>
        <v/>
      </c>
    </row>
    <row r="382">
      <c r="A382" s="1" t="str">
        <f t="shared" si="1"/>
        <v/>
      </c>
      <c r="G382" s="9" t="str">
        <f>IFERROR(__xludf.DUMMYFUNCTION("IF(B382="""","""",ROUND(XLOOKUP(B382, FLATTEN(B$1:E381), FLATTEN(O$1:R381), 500, 0, -1)))"),"")</f>
        <v/>
      </c>
      <c r="H382" s="9" t="str">
        <f>IFERROR(__xludf.DUMMYFUNCTION("IF(C382="""","""",ROUND(XLOOKUP(C382, FLATTEN(B$1:E381), FLATTEN(O$1:R381), 500, 0, -1)))"),"")</f>
        <v/>
      </c>
      <c r="I382" s="9" t="str">
        <f>IFERROR(__xludf.DUMMYFUNCTION("IF(D382="""","""",ROUND(XLOOKUP(D382, FLATTEN(B$1:E381), FLATTEN(O$1:R381), 500, 0, -1)))"),"")</f>
        <v/>
      </c>
      <c r="J382" s="9" t="str">
        <f>IFERROR(__xludf.DUMMYFUNCTION("IF(E382="""","""",ROUND(XLOOKUP(E382, FLATTEN(B$1:E381), FLATTEN(O$1:R381), 500, 0, -1)))"),"")</f>
        <v/>
      </c>
      <c r="K382" s="9" t="str">
        <f t="shared" si="2"/>
        <v/>
      </c>
      <c r="L382" s="9" t="str">
        <f t="shared" si="3"/>
        <v/>
      </c>
      <c r="M382" s="32" t="str">
        <f t="shared" si="4"/>
        <v/>
      </c>
      <c r="N382" s="9" t="str">
        <f t="shared" si="5"/>
        <v/>
      </c>
      <c r="O382" s="9" t="str">
        <f t="shared" si="6"/>
        <v/>
      </c>
      <c r="P382" s="9" t="str">
        <f t="shared" si="7"/>
        <v/>
      </c>
      <c r="Q382" s="9" t="str">
        <f t="shared" si="8"/>
        <v/>
      </c>
      <c r="R382" s="9" t="str">
        <f t="shared" si="9"/>
        <v/>
      </c>
    </row>
    <row r="383">
      <c r="A383" s="1" t="str">
        <f t="shared" si="1"/>
        <v/>
      </c>
      <c r="G383" s="9" t="str">
        <f>IFERROR(__xludf.DUMMYFUNCTION("IF(B383="""","""",ROUND(XLOOKUP(B383, FLATTEN(B$1:E382), FLATTEN(O$1:R382), 500, 0, -1)))"),"")</f>
        <v/>
      </c>
      <c r="H383" s="9" t="str">
        <f>IFERROR(__xludf.DUMMYFUNCTION("IF(C383="""","""",ROUND(XLOOKUP(C383, FLATTEN(B$1:E382), FLATTEN(O$1:R382), 500, 0, -1)))"),"")</f>
        <v/>
      </c>
      <c r="I383" s="9" t="str">
        <f>IFERROR(__xludf.DUMMYFUNCTION("IF(D383="""","""",ROUND(XLOOKUP(D383, FLATTEN(B$1:E382), FLATTEN(O$1:R382), 500, 0, -1)))"),"")</f>
        <v/>
      </c>
      <c r="J383" s="9" t="str">
        <f>IFERROR(__xludf.DUMMYFUNCTION("IF(E383="""","""",ROUND(XLOOKUP(E383, FLATTEN(B$1:E382), FLATTEN(O$1:R382), 500, 0, -1)))"),"")</f>
        <v/>
      </c>
      <c r="K383" s="9" t="str">
        <f t="shared" si="2"/>
        <v/>
      </c>
      <c r="L383" s="9" t="str">
        <f t="shared" si="3"/>
        <v/>
      </c>
      <c r="M383" s="32" t="str">
        <f t="shared" si="4"/>
        <v/>
      </c>
      <c r="N383" s="9" t="str">
        <f t="shared" si="5"/>
        <v/>
      </c>
      <c r="O383" s="9" t="str">
        <f t="shared" si="6"/>
        <v/>
      </c>
      <c r="P383" s="9" t="str">
        <f t="shared" si="7"/>
        <v/>
      </c>
      <c r="Q383" s="9" t="str">
        <f t="shared" si="8"/>
        <v/>
      </c>
      <c r="R383" s="9" t="str">
        <f t="shared" si="9"/>
        <v/>
      </c>
    </row>
    <row r="384">
      <c r="A384" s="1" t="str">
        <f t="shared" si="1"/>
        <v/>
      </c>
      <c r="G384" s="9" t="str">
        <f>IFERROR(__xludf.DUMMYFUNCTION("IF(B384="""","""",ROUND(XLOOKUP(B384, FLATTEN(B$1:E383), FLATTEN(O$1:R383), 500, 0, -1)))"),"")</f>
        <v/>
      </c>
      <c r="H384" s="9" t="str">
        <f>IFERROR(__xludf.DUMMYFUNCTION("IF(C384="""","""",ROUND(XLOOKUP(C384, FLATTEN(B$1:E383), FLATTEN(O$1:R383), 500, 0, -1)))"),"")</f>
        <v/>
      </c>
      <c r="I384" s="9" t="str">
        <f>IFERROR(__xludf.DUMMYFUNCTION("IF(D384="""","""",ROUND(XLOOKUP(D384, FLATTEN(B$1:E383), FLATTEN(O$1:R383), 500, 0, -1)))"),"")</f>
        <v/>
      </c>
      <c r="J384" s="9" t="str">
        <f>IFERROR(__xludf.DUMMYFUNCTION("IF(E384="""","""",ROUND(XLOOKUP(E384, FLATTEN(B$1:E383), FLATTEN(O$1:R383), 500, 0, -1)))"),"")</f>
        <v/>
      </c>
      <c r="K384" s="9" t="str">
        <f t="shared" si="2"/>
        <v/>
      </c>
      <c r="L384" s="9" t="str">
        <f t="shared" si="3"/>
        <v/>
      </c>
      <c r="M384" s="32" t="str">
        <f t="shared" si="4"/>
        <v/>
      </c>
      <c r="N384" s="9" t="str">
        <f t="shared" si="5"/>
        <v/>
      </c>
      <c r="O384" s="9" t="str">
        <f t="shared" si="6"/>
        <v/>
      </c>
      <c r="P384" s="9" t="str">
        <f t="shared" si="7"/>
        <v/>
      </c>
      <c r="Q384" s="9" t="str">
        <f t="shared" si="8"/>
        <v/>
      </c>
      <c r="R384" s="9" t="str">
        <f t="shared" si="9"/>
        <v/>
      </c>
    </row>
    <row r="385">
      <c r="A385" s="1" t="str">
        <f t="shared" si="1"/>
        <v/>
      </c>
      <c r="G385" s="9" t="str">
        <f>IFERROR(__xludf.DUMMYFUNCTION("IF(B385="""","""",ROUND(XLOOKUP(B385, FLATTEN(B$1:E384), FLATTEN(O$1:R384), 500, 0, -1)))"),"")</f>
        <v/>
      </c>
      <c r="H385" s="9" t="str">
        <f>IFERROR(__xludf.DUMMYFUNCTION("IF(C385="""","""",ROUND(XLOOKUP(C385, FLATTEN(B$1:E384), FLATTEN(O$1:R384), 500, 0, -1)))"),"")</f>
        <v/>
      </c>
      <c r="I385" s="9" t="str">
        <f>IFERROR(__xludf.DUMMYFUNCTION("IF(D385="""","""",ROUND(XLOOKUP(D385, FLATTEN(B$1:E384), FLATTEN(O$1:R384), 500, 0, -1)))"),"")</f>
        <v/>
      </c>
      <c r="J385" s="9" t="str">
        <f>IFERROR(__xludf.DUMMYFUNCTION("IF(E385="""","""",ROUND(XLOOKUP(E385, FLATTEN(B$1:E384), FLATTEN(O$1:R384), 500, 0, -1)))"),"")</f>
        <v/>
      </c>
      <c r="K385" s="9" t="str">
        <f t="shared" si="2"/>
        <v/>
      </c>
      <c r="L385" s="9" t="str">
        <f t="shared" si="3"/>
        <v/>
      </c>
      <c r="M385" s="32" t="str">
        <f t="shared" si="4"/>
        <v/>
      </c>
      <c r="N385" s="9" t="str">
        <f t="shared" si="5"/>
        <v/>
      </c>
      <c r="O385" s="9" t="str">
        <f t="shared" si="6"/>
        <v/>
      </c>
      <c r="P385" s="9" t="str">
        <f t="shared" si="7"/>
        <v/>
      </c>
      <c r="Q385" s="9" t="str">
        <f t="shared" si="8"/>
        <v/>
      </c>
      <c r="R385" s="9" t="str">
        <f t="shared" si="9"/>
        <v/>
      </c>
    </row>
    <row r="386">
      <c r="A386" s="1" t="str">
        <f t="shared" si="1"/>
        <v/>
      </c>
      <c r="G386" s="9" t="str">
        <f>IFERROR(__xludf.DUMMYFUNCTION("IF(B386="""","""",ROUND(XLOOKUP(B386, FLATTEN(B$1:E385), FLATTEN(O$1:R385), 500, 0, -1)))"),"")</f>
        <v/>
      </c>
      <c r="H386" s="9" t="str">
        <f>IFERROR(__xludf.DUMMYFUNCTION("IF(C386="""","""",ROUND(XLOOKUP(C386, FLATTEN(B$1:E385), FLATTEN(O$1:R385), 500, 0, -1)))"),"")</f>
        <v/>
      </c>
      <c r="I386" s="9" t="str">
        <f>IFERROR(__xludf.DUMMYFUNCTION("IF(D386="""","""",ROUND(XLOOKUP(D386, FLATTEN(B$1:E385), FLATTEN(O$1:R385), 500, 0, -1)))"),"")</f>
        <v/>
      </c>
      <c r="J386" s="9" t="str">
        <f>IFERROR(__xludf.DUMMYFUNCTION("IF(E386="""","""",ROUND(XLOOKUP(E386, FLATTEN(B$1:E385), FLATTEN(O$1:R385), 500, 0, -1)))"),"")</f>
        <v/>
      </c>
      <c r="K386" s="9" t="str">
        <f t="shared" si="2"/>
        <v/>
      </c>
      <c r="L386" s="9" t="str">
        <f t="shared" si="3"/>
        <v/>
      </c>
      <c r="M386" s="32" t="str">
        <f t="shared" si="4"/>
        <v/>
      </c>
      <c r="N386" s="9" t="str">
        <f t="shared" si="5"/>
        <v/>
      </c>
      <c r="O386" s="9" t="str">
        <f t="shared" si="6"/>
        <v/>
      </c>
      <c r="P386" s="9" t="str">
        <f t="shared" si="7"/>
        <v/>
      </c>
      <c r="Q386" s="9" t="str">
        <f t="shared" si="8"/>
        <v/>
      </c>
      <c r="R386" s="9" t="str">
        <f t="shared" si="9"/>
        <v/>
      </c>
    </row>
    <row r="387">
      <c r="A387" s="1" t="str">
        <f t="shared" si="1"/>
        <v/>
      </c>
      <c r="G387" s="9" t="str">
        <f>IFERROR(__xludf.DUMMYFUNCTION("IF(B387="""","""",ROUND(XLOOKUP(B387, FLATTEN(B$1:E386), FLATTEN(O$1:R386), 500, 0, -1)))"),"")</f>
        <v/>
      </c>
      <c r="H387" s="9" t="str">
        <f>IFERROR(__xludf.DUMMYFUNCTION("IF(C387="""","""",ROUND(XLOOKUP(C387, FLATTEN(B$1:E386), FLATTEN(O$1:R386), 500, 0, -1)))"),"")</f>
        <v/>
      </c>
      <c r="I387" s="9" t="str">
        <f>IFERROR(__xludf.DUMMYFUNCTION("IF(D387="""","""",ROUND(XLOOKUP(D387, FLATTEN(B$1:E386), FLATTEN(O$1:R386), 500, 0, -1)))"),"")</f>
        <v/>
      </c>
      <c r="J387" s="9" t="str">
        <f>IFERROR(__xludf.DUMMYFUNCTION("IF(E387="""","""",ROUND(XLOOKUP(E387, FLATTEN(B$1:E386), FLATTEN(O$1:R386), 500, 0, -1)))"),"")</f>
        <v/>
      </c>
      <c r="K387" s="9" t="str">
        <f t="shared" si="2"/>
        <v/>
      </c>
      <c r="L387" s="9" t="str">
        <f t="shared" si="3"/>
        <v/>
      </c>
      <c r="M387" s="32" t="str">
        <f t="shared" si="4"/>
        <v/>
      </c>
      <c r="N387" s="9" t="str">
        <f t="shared" si="5"/>
        <v/>
      </c>
      <c r="O387" s="9" t="str">
        <f t="shared" si="6"/>
        <v/>
      </c>
      <c r="P387" s="9" t="str">
        <f t="shared" si="7"/>
        <v/>
      </c>
      <c r="Q387" s="9" t="str">
        <f t="shared" si="8"/>
        <v/>
      </c>
      <c r="R387" s="9" t="str">
        <f t="shared" si="9"/>
        <v/>
      </c>
    </row>
    <row r="388">
      <c r="A388" s="1" t="str">
        <f t="shared" si="1"/>
        <v/>
      </c>
      <c r="G388" s="9" t="str">
        <f>IFERROR(__xludf.DUMMYFUNCTION("IF(B388="""","""",ROUND(XLOOKUP(B388, FLATTEN(B$1:E387), FLATTEN(O$1:R387), 500, 0, -1)))"),"")</f>
        <v/>
      </c>
      <c r="H388" s="9" t="str">
        <f>IFERROR(__xludf.DUMMYFUNCTION("IF(C388="""","""",ROUND(XLOOKUP(C388, FLATTEN(B$1:E387), FLATTEN(O$1:R387), 500, 0, -1)))"),"")</f>
        <v/>
      </c>
      <c r="I388" s="9" t="str">
        <f>IFERROR(__xludf.DUMMYFUNCTION("IF(D388="""","""",ROUND(XLOOKUP(D388, FLATTEN(B$1:E387), FLATTEN(O$1:R387), 500, 0, -1)))"),"")</f>
        <v/>
      </c>
      <c r="J388" s="9" t="str">
        <f>IFERROR(__xludf.DUMMYFUNCTION("IF(E388="""","""",ROUND(XLOOKUP(E388, FLATTEN(B$1:E387), FLATTEN(O$1:R387), 500, 0, -1)))"),"")</f>
        <v/>
      </c>
      <c r="K388" s="9" t="str">
        <f t="shared" si="2"/>
        <v/>
      </c>
      <c r="L388" s="9" t="str">
        <f t="shared" si="3"/>
        <v/>
      </c>
      <c r="M388" s="32" t="str">
        <f t="shared" si="4"/>
        <v/>
      </c>
      <c r="N388" s="9" t="str">
        <f t="shared" si="5"/>
        <v/>
      </c>
      <c r="O388" s="9" t="str">
        <f t="shared" si="6"/>
        <v/>
      </c>
      <c r="P388" s="9" t="str">
        <f t="shared" si="7"/>
        <v/>
      </c>
      <c r="Q388" s="9" t="str">
        <f t="shared" si="8"/>
        <v/>
      </c>
      <c r="R388" s="9" t="str">
        <f t="shared" si="9"/>
        <v/>
      </c>
    </row>
    <row r="389">
      <c r="A389" s="1" t="str">
        <f t="shared" si="1"/>
        <v/>
      </c>
      <c r="G389" s="9" t="str">
        <f>IFERROR(__xludf.DUMMYFUNCTION("IF(B389="""","""",ROUND(XLOOKUP(B389, FLATTEN(B$1:E388), FLATTEN(O$1:R388), 500, 0, -1)))"),"")</f>
        <v/>
      </c>
      <c r="H389" s="9" t="str">
        <f>IFERROR(__xludf.DUMMYFUNCTION("IF(C389="""","""",ROUND(XLOOKUP(C389, FLATTEN(B$1:E388), FLATTEN(O$1:R388), 500, 0, -1)))"),"")</f>
        <v/>
      </c>
      <c r="I389" s="9" t="str">
        <f>IFERROR(__xludf.DUMMYFUNCTION("IF(D389="""","""",ROUND(XLOOKUP(D389, FLATTEN(B$1:E388), FLATTEN(O$1:R388), 500, 0, -1)))"),"")</f>
        <v/>
      </c>
      <c r="J389" s="9" t="str">
        <f>IFERROR(__xludf.DUMMYFUNCTION("IF(E389="""","""",ROUND(XLOOKUP(E389, FLATTEN(B$1:E388), FLATTEN(O$1:R388), 500, 0, -1)))"),"")</f>
        <v/>
      </c>
      <c r="K389" s="9" t="str">
        <f t="shared" si="2"/>
        <v/>
      </c>
      <c r="L389" s="9" t="str">
        <f t="shared" si="3"/>
        <v/>
      </c>
      <c r="M389" s="32" t="str">
        <f t="shared" si="4"/>
        <v/>
      </c>
      <c r="N389" s="9" t="str">
        <f t="shared" si="5"/>
        <v/>
      </c>
      <c r="O389" s="9" t="str">
        <f t="shared" si="6"/>
        <v/>
      </c>
      <c r="P389" s="9" t="str">
        <f t="shared" si="7"/>
        <v/>
      </c>
      <c r="Q389" s="9" t="str">
        <f t="shared" si="8"/>
        <v/>
      </c>
      <c r="R389" s="9" t="str">
        <f t="shared" si="9"/>
        <v/>
      </c>
    </row>
    <row r="390">
      <c r="A390" s="1" t="str">
        <f t="shared" si="1"/>
        <v/>
      </c>
      <c r="G390" s="9" t="str">
        <f>IFERROR(__xludf.DUMMYFUNCTION("IF(B390="""","""",ROUND(XLOOKUP(B390, FLATTEN(B$1:E389), FLATTEN(O$1:R389), 500, 0, -1)))"),"")</f>
        <v/>
      </c>
      <c r="H390" s="9" t="str">
        <f>IFERROR(__xludf.DUMMYFUNCTION("IF(C390="""","""",ROUND(XLOOKUP(C390, FLATTEN(B$1:E389), FLATTEN(O$1:R389), 500, 0, -1)))"),"")</f>
        <v/>
      </c>
      <c r="I390" s="9" t="str">
        <f>IFERROR(__xludf.DUMMYFUNCTION("IF(D390="""","""",ROUND(XLOOKUP(D390, FLATTEN(B$1:E389), FLATTEN(O$1:R389), 500, 0, -1)))"),"")</f>
        <v/>
      </c>
      <c r="J390" s="9" t="str">
        <f>IFERROR(__xludf.DUMMYFUNCTION("IF(E390="""","""",ROUND(XLOOKUP(E390, FLATTEN(B$1:E389), FLATTEN(O$1:R389), 500, 0, -1)))"),"")</f>
        <v/>
      </c>
      <c r="K390" s="9" t="str">
        <f t="shared" si="2"/>
        <v/>
      </c>
      <c r="L390" s="9" t="str">
        <f t="shared" si="3"/>
        <v/>
      </c>
      <c r="M390" s="32" t="str">
        <f t="shared" si="4"/>
        <v/>
      </c>
      <c r="N390" s="9" t="str">
        <f t="shared" si="5"/>
        <v/>
      </c>
      <c r="O390" s="9" t="str">
        <f t="shared" si="6"/>
        <v/>
      </c>
      <c r="P390" s="9" t="str">
        <f t="shared" si="7"/>
        <v/>
      </c>
      <c r="Q390" s="9" t="str">
        <f t="shared" si="8"/>
        <v/>
      </c>
      <c r="R390" s="9" t="str">
        <f t="shared" si="9"/>
        <v/>
      </c>
    </row>
    <row r="391">
      <c r="A391" s="1" t="str">
        <f t="shared" si="1"/>
        <v/>
      </c>
      <c r="G391" s="9" t="str">
        <f>IFERROR(__xludf.DUMMYFUNCTION("IF(B391="""","""",ROUND(XLOOKUP(B391, FLATTEN(B$1:E390), FLATTEN(O$1:R390), 500, 0, -1)))"),"")</f>
        <v/>
      </c>
      <c r="H391" s="9" t="str">
        <f>IFERROR(__xludf.DUMMYFUNCTION("IF(C391="""","""",ROUND(XLOOKUP(C391, FLATTEN(B$1:E390), FLATTEN(O$1:R390), 500, 0, -1)))"),"")</f>
        <v/>
      </c>
      <c r="I391" s="9" t="str">
        <f>IFERROR(__xludf.DUMMYFUNCTION("IF(D391="""","""",ROUND(XLOOKUP(D391, FLATTEN(B$1:E390), FLATTEN(O$1:R390), 500, 0, -1)))"),"")</f>
        <v/>
      </c>
      <c r="J391" s="9" t="str">
        <f>IFERROR(__xludf.DUMMYFUNCTION("IF(E391="""","""",ROUND(XLOOKUP(E391, FLATTEN(B$1:E390), FLATTEN(O$1:R390), 500, 0, -1)))"),"")</f>
        <v/>
      </c>
      <c r="K391" s="9" t="str">
        <f t="shared" si="2"/>
        <v/>
      </c>
      <c r="L391" s="9" t="str">
        <f t="shared" si="3"/>
        <v/>
      </c>
      <c r="M391" s="32" t="str">
        <f t="shared" si="4"/>
        <v/>
      </c>
      <c r="N391" s="9" t="str">
        <f t="shared" si="5"/>
        <v/>
      </c>
      <c r="O391" s="9" t="str">
        <f t="shared" si="6"/>
        <v/>
      </c>
      <c r="P391" s="9" t="str">
        <f t="shared" si="7"/>
        <v/>
      </c>
      <c r="Q391" s="9" t="str">
        <f t="shared" si="8"/>
        <v/>
      </c>
      <c r="R391" s="9" t="str">
        <f t="shared" si="9"/>
        <v/>
      </c>
    </row>
    <row r="392">
      <c r="A392" s="1" t="str">
        <f t="shared" si="1"/>
        <v/>
      </c>
      <c r="G392" s="9" t="str">
        <f>IFERROR(__xludf.DUMMYFUNCTION("IF(B392="""","""",ROUND(XLOOKUP(B392, FLATTEN(B$1:E391), FLATTEN(O$1:R391), 500, 0, -1)))"),"")</f>
        <v/>
      </c>
      <c r="H392" s="9" t="str">
        <f>IFERROR(__xludf.DUMMYFUNCTION("IF(C392="""","""",ROUND(XLOOKUP(C392, FLATTEN(B$1:E391), FLATTEN(O$1:R391), 500, 0, -1)))"),"")</f>
        <v/>
      </c>
      <c r="I392" s="9" t="str">
        <f>IFERROR(__xludf.DUMMYFUNCTION("IF(D392="""","""",ROUND(XLOOKUP(D392, FLATTEN(B$1:E391), FLATTEN(O$1:R391), 500, 0, -1)))"),"")</f>
        <v/>
      </c>
      <c r="J392" s="9" t="str">
        <f>IFERROR(__xludf.DUMMYFUNCTION("IF(E392="""","""",ROUND(XLOOKUP(E392, FLATTEN(B$1:E391), FLATTEN(O$1:R391), 500, 0, -1)))"),"")</f>
        <v/>
      </c>
      <c r="K392" s="9" t="str">
        <f t="shared" si="2"/>
        <v/>
      </c>
      <c r="L392" s="9" t="str">
        <f t="shared" si="3"/>
        <v/>
      </c>
      <c r="M392" s="32" t="str">
        <f t="shared" si="4"/>
        <v/>
      </c>
      <c r="N392" s="9" t="str">
        <f t="shared" si="5"/>
        <v/>
      </c>
      <c r="O392" s="9" t="str">
        <f t="shared" si="6"/>
        <v/>
      </c>
      <c r="P392" s="9" t="str">
        <f t="shared" si="7"/>
        <v/>
      </c>
      <c r="Q392" s="9" t="str">
        <f t="shared" si="8"/>
        <v/>
      </c>
      <c r="R392" s="9" t="str">
        <f t="shared" si="9"/>
        <v/>
      </c>
    </row>
    <row r="393">
      <c r="A393" s="1" t="str">
        <f t="shared" si="1"/>
        <v/>
      </c>
      <c r="G393" s="9" t="str">
        <f>IFERROR(__xludf.DUMMYFUNCTION("IF(B393="""","""",ROUND(XLOOKUP(B393, FLATTEN(B$1:E392), FLATTEN(O$1:R392), 500, 0, -1)))"),"")</f>
        <v/>
      </c>
      <c r="H393" s="9" t="str">
        <f>IFERROR(__xludf.DUMMYFUNCTION("IF(C393="""","""",ROUND(XLOOKUP(C393, FLATTEN(B$1:E392), FLATTEN(O$1:R392), 500, 0, -1)))"),"")</f>
        <v/>
      </c>
      <c r="I393" s="9" t="str">
        <f>IFERROR(__xludf.DUMMYFUNCTION("IF(D393="""","""",ROUND(XLOOKUP(D393, FLATTEN(B$1:E392), FLATTEN(O$1:R392), 500, 0, -1)))"),"")</f>
        <v/>
      </c>
      <c r="J393" s="9" t="str">
        <f>IFERROR(__xludf.DUMMYFUNCTION("IF(E393="""","""",ROUND(XLOOKUP(E393, FLATTEN(B$1:E392), FLATTEN(O$1:R392), 500, 0, -1)))"),"")</f>
        <v/>
      </c>
      <c r="K393" s="9" t="str">
        <f t="shared" si="2"/>
        <v/>
      </c>
      <c r="L393" s="9" t="str">
        <f t="shared" si="3"/>
        <v/>
      </c>
      <c r="M393" s="32" t="str">
        <f t="shared" si="4"/>
        <v/>
      </c>
      <c r="N393" s="9" t="str">
        <f t="shared" si="5"/>
        <v/>
      </c>
      <c r="O393" s="9" t="str">
        <f t="shared" si="6"/>
        <v/>
      </c>
      <c r="P393" s="9" t="str">
        <f t="shared" si="7"/>
        <v/>
      </c>
      <c r="Q393" s="9" t="str">
        <f t="shared" si="8"/>
        <v/>
      </c>
      <c r="R393" s="9" t="str">
        <f t="shared" si="9"/>
        <v/>
      </c>
    </row>
    <row r="394">
      <c r="A394" s="1" t="str">
        <f t="shared" si="1"/>
        <v/>
      </c>
      <c r="G394" s="9" t="str">
        <f>IFERROR(__xludf.DUMMYFUNCTION("IF(B394="""","""",ROUND(XLOOKUP(B394, FLATTEN(B$1:E393), FLATTEN(O$1:R393), 500, 0, -1)))"),"")</f>
        <v/>
      </c>
      <c r="H394" s="9" t="str">
        <f>IFERROR(__xludf.DUMMYFUNCTION("IF(C394="""","""",ROUND(XLOOKUP(C394, FLATTEN(B$1:E393), FLATTEN(O$1:R393), 500, 0, -1)))"),"")</f>
        <v/>
      </c>
      <c r="I394" s="9" t="str">
        <f>IFERROR(__xludf.DUMMYFUNCTION("IF(D394="""","""",ROUND(XLOOKUP(D394, FLATTEN(B$1:E393), FLATTEN(O$1:R393), 500, 0, -1)))"),"")</f>
        <v/>
      </c>
      <c r="J394" s="9" t="str">
        <f>IFERROR(__xludf.DUMMYFUNCTION("IF(E394="""","""",ROUND(XLOOKUP(E394, FLATTEN(B$1:E393), FLATTEN(O$1:R393), 500, 0, -1)))"),"")</f>
        <v/>
      </c>
      <c r="K394" s="9" t="str">
        <f t="shared" si="2"/>
        <v/>
      </c>
      <c r="L394" s="9" t="str">
        <f t="shared" si="3"/>
        <v/>
      </c>
      <c r="M394" s="32" t="str">
        <f t="shared" si="4"/>
        <v/>
      </c>
      <c r="N394" s="9" t="str">
        <f t="shared" si="5"/>
        <v/>
      </c>
      <c r="O394" s="9" t="str">
        <f t="shared" si="6"/>
        <v/>
      </c>
      <c r="P394" s="9" t="str">
        <f t="shared" si="7"/>
        <v/>
      </c>
      <c r="Q394" s="9" t="str">
        <f t="shared" si="8"/>
        <v/>
      </c>
      <c r="R394" s="9" t="str">
        <f t="shared" si="9"/>
        <v/>
      </c>
    </row>
    <row r="395">
      <c r="A395" s="1" t="str">
        <f t="shared" si="1"/>
        <v/>
      </c>
      <c r="G395" s="9" t="str">
        <f>IFERROR(__xludf.DUMMYFUNCTION("IF(B395="""","""",ROUND(XLOOKUP(B395, FLATTEN(B$1:E394), FLATTEN(O$1:R394), 500, 0, -1)))"),"")</f>
        <v/>
      </c>
      <c r="H395" s="9" t="str">
        <f>IFERROR(__xludf.DUMMYFUNCTION("IF(C395="""","""",ROUND(XLOOKUP(C395, FLATTEN(B$1:E394), FLATTEN(O$1:R394), 500, 0, -1)))"),"")</f>
        <v/>
      </c>
      <c r="I395" s="9" t="str">
        <f>IFERROR(__xludf.DUMMYFUNCTION("IF(D395="""","""",ROUND(XLOOKUP(D395, FLATTEN(B$1:E394), FLATTEN(O$1:R394), 500, 0, -1)))"),"")</f>
        <v/>
      </c>
      <c r="J395" s="9" t="str">
        <f>IFERROR(__xludf.DUMMYFUNCTION("IF(E395="""","""",ROUND(XLOOKUP(E395, FLATTEN(B$1:E394), FLATTEN(O$1:R394), 500, 0, -1)))"),"")</f>
        <v/>
      </c>
      <c r="K395" s="9" t="str">
        <f t="shared" si="2"/>
        <v/>
      </c>
      <c r="L395" s="9" t="str">
        <f t="shared" si="3"/>
        <v/>
      </c>
      <c r="M395" s="32" t="str">
        <f t="shared" si="4"/>
        <v/>
      </c>
      <c r="N395" s="9" t="str">
        <f t="shared" si="5"/>
        <v/>
      </c>
      <c r="O395" s="9" t="str">
        <f t="shared" si="6"/>
        <v/>
      </c>
      <c r="P395" s="9" t="str">
        <f t="shared" si="7"/>
        <v/>
      </c>
      <c r="Q395" s="9" t="str">
        <f t="shared" si="8"/>
        <v/>
      </c>
      <c r="R395" s="9" t="str">
        <f t="shared" si="9"/>
        <v/>
      </c>
    </row>
    <row r="396">
      <c r="A396" s="1" t="str">
        <f t="shared" si="1"/>
        <v/>
      </c>
      <c r="G396" s="9" t="str">
        <f>IFERROR(__xludf.DUMMYFUNCTION("IF(B396="""","""",ROUND(XLOOKUP(B396, FLATTEN(B$1:E395), FLATTEN(O$1:R395), 500, 0, -1)))"),"")</f>
        <v/>
      </c>
      <c r="H396" s="9" t="str">
        <f>IFERROR(__xludf.DUMMYFUNCTION("IF(C396="""","""",ROUND(XLOOKUP(C396, FLATTEN(B$1:E395), FLATTEN(O$1:R395), 500, 0, -1)))"),"")</f>
        <v/>
      </c>
      <c r="I396" s="9" t="str">
        <f>IFERROR(__xludf.DUMMYFUNCTION("IF(D396="""","""",ROUND(XLOOKUP(D396, FLATTEN(B$1:E395), FLATTEN(O$1:R395), 500, 0, -1)))"),"")</f>
        <v/>
      </c>
      <c r="J396" s="9" t="str">
        <f>IFERROR(__xludf.DUMMYFUNCTION("IF(E396="""","""",ROUND(XLOOKUP(E396, FLATTEN(B$1:E395), FLATTEN(O$1:R395), 500, 0, -1)))"),"")</f>
        <v/>
      </c>
      <c r="K396" s="9" t="str">
        <f t="shared" si="2"/>
        <v/>
      </c>
      <c r="L396" s="9" t="str">
        <f t="shared" si="3"/>
        <v/>
      </c>
      <c r="M396" s="32" t="str">
        <f t="shared" si="4"/>
        <v/>
      </c>
      <c r="N396" s="9" t="str">
        <f t="shared" si="5"/>
        <v/>
      </c>
      <c r="O396" s="9" t="str">
        <f t="shared" si="6"/>
        <v/>
      </c>
      <c r="P396" s="9" t="str">
        <f t="shared" si="7"/>
        <v/>
      </c>
      <c r="Q396" s="9" t="str">
        <f t="shared" si="8"/>
        <v/>
      </c>
      <c r="R396" s="9" t="str">
        <f t="shared" si="9"/>
        <v/>
      </c>
    </row>
    <row r="397">
      <c r="A397" s="1" t="str">
        <f t="shared" si="1"/>
        <v/>
      </c>
      <c r="G397" s="9" t="str">
        <f>IFERROR(__xludf.DUMMYFUNCTION("IF(B397="""","""",ROUND(XLOOKUP(B397, FLATTEN(B$1:E396), FLATTEN(O$1:R396), 500, 0, -1)))"),"")</f>
        <v/>
      </c>
      <c r="H397" s="9" t="str">
        <f>IFERROR(__xludf.DUMMYFUNCTION("IF(C397="""","""",ROUND(XLOOKUP(C397, FLATTEN(B$1:E396), FLATTEN(O$1:R396), 500, 0, -1)))"),"")</f>
        <v/>
      </c>
      <c r="I397" s="9" t="str">
        <f>IFERROR(__xludf.DUMMYFUNCTION("IF(D397="""","""",ROUND(XLOOKUP(D397, FLATTEN(B$1:E396), FLATTEN(O$1:R396), 500, 0, -1)))"),"")</f>
        <v/>
      </c>
      <c r="J397" s="9" t="str">
        <f>IFERROR(__xludf.DUMMYFUNCTION("IF(E397="""","""",ROUND(XLOOKUP(E397, FLATTEN(B$1:E396), FLATTEN(O$1:R396), 500, 0, -1)))"),"")</f>
        <v/>
      </c>
      <c r="K397" s="9" t="str">
        <f t="shared" si="2"/>
        <v/>
      </c>
      <c r="L397" s="9" t="str">
        <f t="shared" si="3"/>
        <v/>
      </c>
      <c r="M397" s="32" t="str">
        <f t="shared" si="4"/>
        <v/>
      </c>
      <c r="N397" s="9" t="str">
        <f t="shared" si="5"/>
        <v/>
      </c>
      <c r="O397" s="9" t="str">
        <f t="shared" si="6"/>
        <v/>
      </c>
      <c r="P397" s="9" t="str">
        <f t="shared" si="7"/>
        <v/>
      </c>
      <c r="Q397" s="9" t="str">
        <f t="shared" si="8"/>
        <v/>
      </c>
      <c r="R397" s="9" t="str">
        <f t="shared" si="9"/>
        <v/>
      </c>
    </row>
    <row r="398">
      <c r="A398" s="1" t="str">
        <f t="shared" si="1"/>
        <v/>
      </c>
      <c r="G398" s="9" t="str">
        <f>IFERROR(__xludf.DUMMYFUNCTION("IF(B398="""","""",ROUND(XLOOKUP(B398, FLATTEN(B$1:E397), FLATTEN(O$1:R397), 500, 0, -1)))"),"")</f>
        <v/>
      </c>
      <c r="H398" s="9" t="str">
        <f>IFERROR(__xludf.DUMMYFUNCTION("IF(C398="""","""",ROUND(XLOOKUP(C398, FLATTEN(B$1:E397), FLATTEN(O$1:R397), 500, 0, -1)))"),"")</f>
        <v/>
      </c>
      <c r="I398" s="9" t="str">
        <f>IFERROR(__xludf.DUMMYFUNCTION("IF(D398="""","""",ROUND(XLOOKUP(D398, FLATTEN(B$1:E397), FLATTEN(O$1:R397), 500, 0, -1)))"),"")</f>
        <v/>
      </c>
      <c r="J398" s="9" t="str">
        <f>IFERROR(__xludf.DUMMYFUNCTION("IF(E398="""","""",ROUND(XLOOKUP(E398, FLATTEN(B$1:E397), FLATTEN(O$1:R397), 500, 0, -1)))"),"")</f>
        <v/>
      </c>
      <c r="K398" s="9" t="str">
        <f t="shared" si="2"/>
        <v/>
      </c>
      <c r="L398" s="9" t="str">
        <f t="shared" si="3"/>
        <v/>
      </c>
      <c r="M398" s="32" t="str">
        <f t="shared" si="4"/>
        <v/>
      </c>
      <c r="N398" s="9" t="str">
        <f t="shared" si="5"/>
        <v/>
      </c>
      <c r="O398" s="9" t="str">
        <f t="shared" si="6"/>
        <v/>
      </c>
      <c r="P398" s="9" t="str">
        <f t="shared" si="7"/>
        <v/>
      </c>
      <c r="Q398" s="9" t="str">
        <f t="shared" si="8"/>
        <v/>
      </c>
      <c r="R398" s="9" t="str">
        <f t="shared" si="9"/>
        <v/>
      </c>
    </row>
    <row r="399">
      <c r="A399" s="1" t="str">
        <f t="shared" si="1"/>
        <v/>
      </c>
      <c r="G399" s="9" t="str">
        <f>IFERROR(__xludf.DUMMYFUNCTION("IF(B399="""","""",ROUND(XLOOKUP(B399, FLATTEN(B$1:E398), FLATTEN(O$1:R398), 500, 0, -1)))"),"")</f>
        <v/>
      </c>
      <c r="H399" s="9" t="str">
        <f>IFERROR(__xludf.DUMMYFUNCTION("IF(C399="""","""",ROUND(XLOOKUP(C399, FLATTEN(B$1:E398), FLATTEN(O$1:R398), 500, 0, -1)))"),"")</f>
        <v/>
      </c>
      <c r="I399" s="9" t="str">
        <f>IFERROR(__xludf.DUMMYFUNCTION("IF(D399="""","""",ROUND(XLOOKUP(D399, FLATTEN(B$1:E398), FLATTEN(O$1:R398), 500, 0, -1)))"),"")</f>
        <v/>
      </c>
      <c r="J399" s="9" t="str">
        <f>IFERROR(__xludf.DUMMYFUNCTION("IF(E399="""","""",ROUND(XLOOKUP(E399, FLATTEN(B$1:E398), FLATTEN(O$1:R398), 500, 0, -1)))"),"")</f>
        <v/>
      </c>
      <c r="K399" s="9" t="str">
        <f t="shared" si="2"/>
        <v/>
      </c>
      <c r="L399" s="9" t="str">
        <f t="shared" si="3"/>
        <v/>
      </c>
      <c r="M399" s="32" t="str">
        <f t="shared" si="4"/>
        <v/>
      </c>
      <c r="N399" s="9" t="str">
        <f t="shared" si="5"/>
        <v/>
      </c>
      <c r="O399" s="9" t="str">
        <f t="shared" si="6"/>
        <v/>
      </c>
      <c r="P399" s="9" t="str">
        <f t="shared" si="7"/>
        <v/>
      </c>
      <c r="Q399" s="9" t="str">
        <f t="shared" si="8"/>
        <v/>
      </c>
      <c r="R399" s="9" t="str">
        <f t="shared" si="9"/>
        <v/>
      </c>
    </row>
    <row r="400">
      <c r="A400" s="1" t="str">
        <f t="shared" si="1"/>
        <v/>
      </c>
      <c r="G400" s="9" t="str">
        <f>IFERROR(__xludf.DUMMYFUNCTION("IF(B400="""","""",ROUND(XLOOKUP(B400, FLATTEN(B$1:E399), FLATTEN(O$1:R399), 500, 0, -1)))"),"")</f>
        <v/>
      </c>
      <c r="H400" s="9" t="str">
        <f>IFERROR(__xludf.DUMMYFUNCTION("IF(C400="""","""",ROUND(XLOOKUP(C400, FLATTEN(B$1:E399), FLATTEN(O$1:R399), 500, 0, -1)))"),"")</f>
        <v/>
      </c>
      <c r="I400" s="9" t="str">
        <f>IFERROR(__xludf.DUMMYFUNCTION("IF(D400="""","""",ROUND(XLOOKUP(D400, FLATTEN(B$1:E399), FLATTEN(O$1:R399), 500, 0, -1)))"),"")</f>
        <v/>
      </c>
      <c r="J400" s="9" t="str">
        <f>IFERROR(__xludf.DUMMYFUNCTION("IF(E400="""","""",ROUND(XLOOKUP(E400, FLATTEN(B$1:E399), FLATTEN(O$1:R399), 500, 0, -1)))"),"")</f>
        <v/>
      </c>
      <c r="K400" s="9" t="str">
        <f t="shared" si="2"/>
        <v/>
      </c>
      <c r="L400" s="9" t="str">
        <f t="shared" si="3"/>
        <v/>
      </c>
      <c r="M400" s="32" t="str">
        <f t="shared" si="4"/>
        <v/>
      </c>
      <c r="N400" s="9" t="str">
        <f t="shared" si="5"/>
        <v/>
      </c>
      <c r="O400" s="9" t="str">
        <f t="shared" si="6"/>
        <v/>
      </c>
      <c r="P400" s="9" t="str">
        <f t="shared" si="7"/>
        <v/>
      </c>
      <c r="Q400" s="9" t="str">
        <f t="shared" si="8"/>
        <v/>
      </c>
      <c r="R400" s="9" t="str">
        <f t="shared" si="9"/>
        <v/>
      </c>
    </row>
    <row r="401">
      <c r="A401" s="1" t="str">
        <f t="shared" si="1"/>
        <v/>
      </c>
      <c r="G401" s="9" t="str">
        <f>IFERROR(__xludf.DUMMYFUNCTION("IF(B401="""","""",ROUND(XLOOKUP(B401, FLATTEN(B$1:E400), FLATTEN(O$1:R400), 500, 0, -1)))"),"")</f>
        <v/>
      </c>
      <c r="H401" s="9" t="str">
        <f>IFERROR(__xludf.DUMMYFUNCTION("IF(C401="""","""",ROUND(XLOOKUP(C401, FLATTEN(B$1:E400), FLATTEN(O$1:R400), 500, 0, -1)))"),"")</f>
        <v/>
      </c>
      <c r="I401" s="9" t="str">
        <f>IFERROR(__xludf.DUMMYFUNCTION("IF(D401="""","""",ROUND(XLOOKUP(D401, FLATTEN(B$1:E400), FLATTEN(O$1:R400), 500, 0, -1)))"),"")</f>
        <v/>
      </c>
      <c r="J401" s="9" t="str">
        <f>IFERROR(__xludf.DUMMYFUNCTION("IF(E401="""","""",ROUND(XLOOKUP(E401, FLATTEN(B$1:E400), FLATTEN(O$1:R400), 500, 0, -1)))"),"")</f>
        <v/>
      </c>
      <c r="K401" s="9" t="str">
        <f t="shared" si="2"/>
        <v/>
      </c>
      <c r="L401" s="9" t="str">
        <f t="shared" si="3"/>
        <v/>
      </c>
      <c r="M401" s="32" t="str">
        <f t="shared" si="4"/>
        <v/>
      </c>
      <c r="N401" s="9" t="str">
        <f t="shared" si="5"/>
        <v/>
      </c>
      <c r="O401" s="9" t="str">
        <f t="shared" si="6"/>
        <v/>
      </c>
      <c r="P401" s="9" t="str">
        <f t="shared" si="7"/>
        <v/>
      </c>
      <c r="Q401" s="9" t="str">
        <f t="shared" si="8"/>
        <v/>
      </c>
      <c r="R401" s="9" t="str">
        <f t="shared" si="9"/>
        <v/>
      </c>
    </row>
    <row r="402">
      <c r="A402" s="1" t="str">
        <f t="shared" si="1"/>
        <v/>
      </c>
      <c r="G402" s="9" t="str">
        <f>IFERROR(__xludf.DUMMYFUNCTION("IF(B402="""","""",ROUND(XLOOKUP(B402, FLATTEN(B$1:E401), FLATTEN(O$1:R401), 500, 0, -1)))"),"")</f>
        <v/>
      </c>
      <c r="H402" s="9" t="str">
        <f>IFERROR(__xludf.DUMMYFUNCTION("IF(C402="""","""",ROUND(XLOOKUP(C402, FLATTEN(B$1:E401), FLATTEN(O$1:R401), 500, 0, -1)))"),"")</f>
        <v/>
      </c>
      <c r="I402" s="9" t="str">
        <f>IFERROR(__xludf.DUMMYFUNCTION("IF(D402="""","""",ROUND(XLOOKUP(D402, FLATTEN(B$1:E401), FLATTEN(O$1:R401), 500, 0, -1)))"),"")</f>
        <v/>
      </c>
      <c r="J402" s="9" t="str">
        <f>IFERROR(__xludf.DUMMYFUNCTION("IF(E402="""","""",ROUND(XLOOKUP(E402, FLATTEN(B$1:E401), FLATTEN(O$1:R401), 500, 0, -1)))"),"")</f>
        <v/>
      </c>
      <c r="K402" s="9" t="str">
        <f t="shared" si="2"/>
        <v/>
      </c>
      <c r="L402" s="9" t="str">
        <f t="shared" si="3"/>
        <v/>
      </c>
      <c r="M402" s="32" t="str">
        <f t="shared" si="4"/>
        <v/>
      </c>
      <c r="N402" s="9" t="str">
        <f t="shared" si="5"/>
        <v/>
      </c>
      <c r="O402" s="9" t="str">
        <f t="shared" si="6"/>
        <v/>
      </c>
      <c r="P402" s="9" t="str">
        <f t="shared" si="7"/>
        <v/>
      </c>
      <c r="Q402" s="9" t="str">
        <f t="shared" si="8"/>
        <v/>
      </c>
      <c r="R402" s="9" t="str">
        <f t="shared" si="9"/>
        <v/>
      </c>
    </row>
    <row r="403">
      <c r="A403" s="1" t="str">
        <f t="shared" si="1"/>
        <v/>
      </c>
      <c r="G403" s="9" t="str">
        <f>IFERROR(__xludf.DUMMYFUNCTION("IF(B403="""","""",ROUND(XLOOKUP(B403, FLATTEN(B$1:E402), FLATTEN(O$1:R402), 500, 0, -1)))"),"")</f>
        <v/>
      </c>
      <c r="H403" s="9" t="str">
        <f>IFERROR(__xludf.DUMMYFUNCTION("IF(C403="""","""",ROUND(XLOOKUP(C403, FLATTEN(B$1:E402), FLATTEN(O$1:R402), 500, 0, -1)))"),"")</f>
        <v/>
      </c>
      <c r="I403" s="9" t="str">
        <f>IFERROR(__xludf.DUMMYFUNCTION("IF(D403="""","""",ROUND(XLOOKUP(D403, FLATTEN(B$1:E402), FLATTEN(O$1:R402), 500, 0, -1)))"),"")</f>
        <v/>
      </c>
      <c r="J403" s="9" t="str">
        <f>IFERROR(__xludf.DUMMYFUNCTION("IF(E403="""","""",ROUND(XLOOKUP(E403, FLATTEN(B$1:E402), FLATTEN(O$1:R402), 500, 0, -1)))"),"")</f>
        <v/>
      </c>
      <c r="K403" s="9" t="str">
        <f t="shared" si="2"/>
        <v/>
      </c>
      <c r="L403" s="9" t="str">
        <f t="shared" si="3"/>
        <v/>
      </c>
      <c r="M403" s="32" t="str">
        <f t="shared" si="4"/>
        <v/>
      </c>
      <c r="N403" s="9" t="str">
        <f t="shared" si="5"/>
        <v/>
      </c>
      <c r="O403" s="9" t="str">
        <f t="shared" si="6"/>
        <v/>
      </c>
      <c r="P403" s="9" t="str">
        <f t="shared" si="7"/>
        <v/>
      </c>
      <c r="Q403" s="9" t="str">
        <f t="shared" si="8"/>
        <v/>
      </c>
      <c r="R403" s="9" t="str">
        <f t="shared" si="9"/>
        <v/>
      </c>
    </row>
    <row r="404">
      <c r="A404" s="1" t="str">
        <f t="shared" si="1"/>
        <v/>
      </c>
      <c r="G404" s="9" t="str">
        <f>IFERROR(__xludf.DUMMYFUNCTION("IF(B404="""","""",ROUND(XLOOKUP(B404, FLATTEN(B$1:E403), FLATTEN(O$1:R403), 500, 0, -1)))"),"")</f>
        <v/>
      </c>
      <c r="H404" s="9" t="str">
        <f>IFERROR(__xludf.DUMMYFUNCTION("IF(C404="""","""",ROUND(XLOOKUP(C404, FLATTEN(B$1:E403), FLATTEN(O$1:R403), 500, 0, -1)))"),"")</f>
        <v/>
      </c>
      <c r="I404" s="9" t="str">
        <f>IFERROR(__xludf.DUMMYFUNCTION("IF(D404="""","""",ROUND(XLOOKUP(D404, FLATTEN(B$1:E403), FLATTEN(O$1:R403), 500, 0, -1)))"),"")</f>
        <v/>
      </c>
      <c r="J404" s="9" t="str">
        <f>IFERROR(__xludf.DUMMYFUNCTION("IF(E404="""","""",ROUND(XLOOKUP(E404, FLATTEN(B$1:E403), FLATTEN(O$1:R403), 500, 0, -1)))"),"")</f>
        <v/>
      </c>
      <c r="K404" s="9" t="str">
        <f t="shared" si="2"/>
        <v/>
      </c>
      <c r="L404" s="9" t="str">
        <f t="shared" si="3"/>
        <v/>
      </c>
      <c r="M404" s="32" t="str">
        <f t="shared" si="4"/>
        <v/>
      </c>
      <c r="N404" s="9" t="str">
        <f t="shared" si="5"/>
        <v/>
      </c>
      <c r="O404" s="9" t="str">
        <f t="shared" si="6"/>
        <v/>
      </c>
      <c r="P404" s="9" t="str">
        <f t="shared" si="7"/>
        <v/>
      </c>
      <c r="Q404" s="9" t="str">
        <f t="shared" si="8"/>
        <v/>
      </c>
      <c r="R404" s="9" t="str">
        <f t="shared" si="9"/>
        <v/>
      </c>
    </row>
    <row r="405">
      <c r="A405" s="1" t="str">
        <f t="shared" si="1"/>
        <v/>
      </c>
      <c r="G405" s="9" t="str">
        <f>IFERROR(__xludf.DUMMYFUNCTION("IF(B405="""","""",ROUND(XLOOKUP(B405, FLATTEN(B$1:E404), FLATTEN(O$1:R404), 500, 0, -1)))"),"")</f>
        <v/>
      </c>
      <c r="H405" s="9" t="str">
        <f>IFERROR(__xludf.DUMMYFUNCTION("IF(C405="""","""",ROUND(XLOOKUP(C405, FLATTEN(B$1:E404), FLATTEN(O$1:R404), 500, 0, -1)))"),"")</f>
        <v/>
      </c>
      <c r="I405" s="9" t="str">
        <f>IFERROR(__xludf.DUMMYFUNCTION("IF(D405="""","""",ROUND(XLOOKUP(D405, FLATTEN(B$1:E404), FLATTEN(O$1:R404), 500, 0, -1)))"),"")</f>
        <v/>
      </c>
      <c r="J405" s="9" t="str">
        <f>IFERROR(__xludf.DUMMYFUNCTION("IF(E405="""","""",ROUND(XLOOKUP(E405, FLATTEN(B$1:E404), FLATTEN(O$1:R404), 500, 0, -1)))"),"")</f>
        <v/>
      </c>
      <c r="K405" s="9" t="str">
        <f t="shared" si="2"/>
        <v/>
      </c>
      <c r="L405" s="9" t="str">
        <f t="shared" si="3"/>
        <v/>
      </c>
      <c r="M405" s="32" t="str">
        <f t="shared" si="4"/>
        <v/>
      </c>
      <c r="N405" s="9" t="str">
        <f t="shared" si="5"/>
        <v/>
      </c>
      <c r="O405" s="9" t="str">
        <f t="shared" si="6"/>
        <v/>
      </c>
      <c r="P405" s="9" t="str">
        <f t="shared" si="7"/>
        <v/>
      </c>
      <c r="Q405" s="9" t="str">
        <f t="shared" si="8"/>
        <v/>
      </c>
      <c r="R405" s="9" t="str">
        <f t="shared" si="9"/>
        <v/>
      </c>
    </row>
    <row r="406">
      <c r="A406" s="1" t="str">
        <f t="shared" si="1"/>
        <v/>
      </c>
      <c r="G406" s="9" t="str">
        <f>IFERROR(__xludf.DUMMYFUNCTION("IF(B406="""","""",ROUND(XLOOKUP(B406, FLATTEN(B$1:E405), FLATTEN(O$1:R405), 500, 0, -1)))"),"")</f>
        <v/>
      </c>
      <c r="H406" s="9" t="str">
        <f>IFERROR(__xludf.DUMMYFUNCTION("IF(C406="""","""",ROUND(XLOOKUP(C406, FLATTEN(B$1:E405), FLATTEN(O$1:R405), 500, 0, -1)))"),"")</f>
        <v/>
      </c>
      <c r="I406" s="9" t="str">
        <f>IFERROR(__xludf.DUMMYFUNCTION("IF(D406="""","""",ROUND(XLOOKUP(D406, FLATTEN(B$1:E405), FLATTEN(O$1:R405), 500, 0, -1)))"),"")</f>
        <v/>
      </c>
      <c r="J406" s="9" t="str">
        <f>IFERROR(__xludf.DUMMYFUNCTION("IF(E406="""","""",ROUND(XLOOKUP(E406, FLATTEN(B$1:E405), FLATTEN(O$1:R405), 500, 0, -1)))"),"")</f>
        <v/>
      </c>
      <c r="K406" s="9" t="str">
        <f t="shared" si="2"/>
        <v/>
      </c>
      <c r="L406" s="9" t="str">
        <f t="shared" si="3"/>
        <v/>
      </c>
      <c r="M406" s="32" t="str">
        <f t="shared" si="4"/>
        <v/>
      </c>
      <c r="N406" s="9" t="str">
        <f t="shared" si="5"/>
        <v/>
      </c>
      <c r="O406" s="9" t="str">
        <f t="shared" si="6"/>
        <v/>
      </c>
      <c r="P406" s="9" t="str">
        <f t="shared" si="7"/>
        <v/>
      </c>
      <c r="Q406" s="9" t="str">
        <f t="shared" si="8"/>
        <v/>
      </c>
      <c r="R406" s="9" t="str">
        <f t="shared" si="9"/>
        <v/>
      </c>
    </row>
    <row r="407">
      <c r="A407" s="1" t="str">
        <f t="shared" si="1"/>
        <v/>
      </c>
      <c r="G407" s="9" t="str">
        <f>IFERROR(__xludf.DUMMYFUNCTION("IF(B407="""","""",ROUND(XLOOKUP(B407, FLATTEN(B$1:E406), FLATTEN(O$1:R406), 500, 0, -1)))"),"")</f>
        <v/>
      </c>
      <c r="H407" s="9" t="str">
        <f>IFERROR(__xludf.DUMMYFUNCTION("IF(C407="""","""",ROUND(XLOOKUP(C407, FLATTEN(B$1:E406), FLATTEN(O$1:R406), 500, 0, -1)))"),"")</f>
        <v/>
      </c>
      <c r="I407" s="9" t="str">
        <f>IFERROR(__xludf.DUMMYFUNCTION("IF(D407="""","""",ROUND(XLOOKUP(D407, FLATTEN(B$1:E406), FLATTEN(O$1:R406), 500, 0, -1)))"),"")</f>
        <v/>
      </c>
      <c r="J407" s="9" t="str">
        <f>IFERROR(__xludf.DUMMYFUNCTION("IF(E407="""","""",ROUND(XLOOKUP(E407, FLATTEN(B$1:E406), FLATTEN(O$1:R406), 500, 0, -1)))"),"")</f>
        <v/>
      </c>
      <c r="K407" s="9" t="str">
        <f t="shared" si="2"/>
        <v/>
      </c>
      <c r="L407" s="9" t="str">
        <f t="shared" si="3"/>
        <v/>
      </c>
      <c r="M407" s="32" t="str">
        <f t="shared" si="4"/>
        <v/>
      </c>
      <c r="N407" s="9" t="str">
        <f t="shared" si="5"/>
        <v/>
      </c>
      <c r="O407" s="9" t="str">
        <f t="shared" si="6"/>
        <v/>
      </c>
      <c r="P407" s="9" t="str">
        <f t="shared" si="7"/>
        <v/>
      </c>
      <c r="Q407" s="9" t="str">
        <f t="shared" si="8"/>
        <v/>
      </c>
      <c r="R407" s="9" t="str">
        <f t="shared" si="9"/>
        <v/>
      </c>
    </row>
    <row r="408">
      <c r="A408" s="1" t="str">
        <f t="shared" si="1"/>
        <v/>
      </c>
      <c r="G408" s="9" t="str">
        <f>IFERROR(__xludf.DUMMYFUNCTION("IF(B408="""","""",ROUND(XLOOKUP(B408, FLATTEN(B$1:E407), FLATTEN(O$1:R407), 500, 0, -1)))"),"")</f>
        <v/>
      </c>
      <c r="H408" s="9" t="str">
        <f>IFERROR(__xludf.DUMMYFUNCTION("IF(C408="""","""",ROUND(XLOOKUP(C408, FLATTEN(B$1:E407), FLATTEN(O$1:R407), 500, 0, -1)))"),"")</f>
        <v/>
      </c>
      <c r="I408" s="9" t="str">
        <f>IFERROR(__xludf.DUMMYFUNCTION("IF(D408="""","""",ROUND(XLOOKUP(D408, FLATTEN(B$1:E407), FLATTEN(O$1:R407), 500, 0, -1)))"),"")</f>
        <v/>
      </c>
      <c r="J408" s="9" t="str">
        <f>IFERROR(__xludf.DUMMYFUNCTION("IF(E408="""","""",ROUND(XLOOKUP(E408, FLATTEN(B$1:E407), FLATTEN(O$1:R407), 500, 0, -1)))"),"")</f>
        <v/>
      </c>
      <c r="K408" s="9" t="str">
        <f t="shared" si="2"/>
        <v/>
      </c>
      <c r="L408" s="9" t="str">
        <f t="shared" si="3"/>
        <v/>
      </c>
      <c r="M408" s="32" t="str">
        <f t="shared" si="4"/>
        <v/>
      </c>
      <c r="N408" s="9" t="str">
        <f t="shared" si="5"/>
        <v/>
      </c>
      <c r="O408" s="9" t="str">
        <f t="shared" si="6"/>
        <v/>
      </c>
      <c r="P408" s="9" t="str">
        <f t="shared" si="7"/>
        <v/>
      </c>
      <c r="Q408" s="9" t="str">
        <f t="shared" si="8"/>
        <v/>
      </c>
      <c r="R408" s="9" t="str">
        <f t="shared" si="9"/>
        <v/>
      </c>
    </row>
    <row r="409">
      <c r="A409" s="1" t="str">
        <f t="shared" si="1"/>
        <v/>
      </c>
      <c r="G409" s="9" t="str">
        <f>IFERROR(__xludf.DUMMYFUNCTION("IF(B409="""","""",ROUND(XLOOKUP(B409, FLATTEN(B$1:E408), FLATTEN(O$1:R408), 500, 0, -1)))"),"")</f>
        <v/>
      </c>
      <c r="H409" s="9" t="str">
        <f>IFERROR(__xludf.DUMMYFUNCTION("IF(C409="""","""",ROUND(XLOOKUP(C409, FLATTEN(B$1:E408), FLATTEN(O$1:R408), 500, 0, -1)))"),"")</f>
        <v/>
      </c>
      <c r="I409" s="9" t="str">
        <f>IFERROR(__xludf.DUMMYFUNCTION("IF(D409="""","""",ROUND(XLOOKUP(D409, FLATTEN(B$1:E408), FLATTEN(O$1:R408), 500, 0, -1)))"),"")</f>
        <v/>
      </c>
      <c r="J409" s="9" t="str">
        <f>IFERROR(__xludf.DUMMYFUNCTION("IF(E409="""","""",ROUND(XLOOKUP(E409, FLATTEN(B$1:E408), FLATTEN(O$1:R408), 500, 0, -1)))"),"")</f>
        <v/>
      </c>
      <c r="K409" s="9" t="str">
        <f t="shared" si="2"/>
        <v/>
      </c>
      <c r="L409" s="9" t="str">
        <f t="shared" si="3"/>
        <v/>
      </c>
      <c r="M409" s="32" t="str">
        <f t="shared" si="4"/>
        <v/>
      </c>
      <c r="N409" s="9" t="str">
        <f t="shared" si="5"/>
        <v/>
      </c>
      <c r="O409" s="9" t="str">
        <f t="shared" si="6"/>
        <v/>
      </c>
      <c r="P409" s="9" t="str">
        <f t="shared" si="7"/>
        <v/>
      </c>
      <c r="Q409" s="9" t="str">
        <f t="shared" si="8"/>
        <v/>
      </c>
      <c r="R409" s="9" t="str">
        <f t="shared" si="9"/>
        <v/>
      </c>
    </row>
    <row r="410">
      <c r="A410" s="1" t="str">
        <f t="shared" si="1"/>
        <v/>
      </c>
      <c r="G410" s="9" t="str">
        <f>IFERROR(__xludf.DUMMYFUNCTION("IF(B410="""","""",ROUND(XLOOKUP(B410, FLATTEN(B$1:E409), FLATTEN(O$1:R409), 500, 0, -1)))"),"")</f>
        <v/>
      </c>
      <c r="H410" s="9" t="str">
        <f>IFERROR(__xludf.DUMMYFUNCTION("IF(C410="""","""",ROUND(XLOOKUP(C410, FLATTEN(B$1:E409), FLATTEN(O$1:R409), 500, 0, -1)))"),"")</f>
        <v/>
      </c>
      <c r="I410" s="9" t="str">
        <f>IFERROR(__xludf.DUMMYFUNCTION("IF(D410="""","""",ROUND(XLOOKUP(D410, FLATTEN(B$1:E409), FLATTEN(O$1:R409), 500, 0, -1)))"),"")</f>
        <v/>
      </c>
      <c r="J410" s="9" t="str">
        <f>IFERROR(__xludf.DUMMYFUNCTION("IF(E410="""","""",ROUND(XLOOKUP(E410, FLATTEN(B$1:E409), FLATTEN(O$1:R409), 500, 0, -1)))"),"")</f>
        <v/>
      </c>
      <c r="K410" s="9" t="str">
        <f t="shared" si="2"/>
        <v/>
      </c>
      <c r="L410" s="9" t="str">
        <f t="shared" si="3"/>
        <v/>
      </c>
      <c r="M410" s="32" t="str">
        <f t="shared" si="4"/>
        <v/>
      </c>
      <c r="N410" s="9" t="str">
        <f t="shared" si="5"/>
        <v/>
      </c>
      <c r="O410" s="9" t="str">
        <f t="shared" si="6"/>
        <v/>
      </c>
      <c r="P410" s="9" t="str">
        <f t="shared" si="7"/>
        <v/>
      </c>
      <c r="Q410" s="9" t="str">
        <f t="shared" si="8"/>
        <v/>
      </c>
      <c r="R410" s="9" t="str">
        <f t="shared" si="9"/>
        <v/>
      </c>
    </row>
    <row r="411">
      <c r="A411" s="1" t="str">
        <f t="shared" si="1"/>
        <v/>
      </c>
      <c r="G411" s="9" t="str">
        <f>IFERROR(__xludf.DUMMYFUNCTION("IF(B411="""","""",ROUND(XLOOKUP(B411, FLATTEN(B$1:E410), FLATTEN(O$1:R410), 500, 0, -1)))"),"")</f>
        <v/>
      </c>
      <c r="H411" s="9" t="str">
        <f>IFERROR(__xludf.DUMMYFUNCTION("IF(C411="""","""",ROUND(XLOOKUP(C411, FLATTEN(B$1:E410), FLATTEN(O$1:R410), 500, 0, -1)))"),"")</f>
        <v/>
      </c>
      <c r="I411" s="9" t="str">
        <f>IFERROR(__xludf.DUMMYFUNCTION("IF(D411="""","""",ROUND(XLOOKUP(D411, FLATTEN(B$1:E410), FLATTEN(O$1:R410), 500, 0, -1)))"),"")</f>
        <v/>
      </c>
      <c r="J411" s="9" t="str">
        <f>IFERROR(__xludf.DUMMYFUNCTION("IF(E411="""","""",ROUND(XLOOKUP(E411, FLATTEN(B$1:E410), FLATTEN(O$1:R410), 500, 0, -1)))"),"")</f>
        <v/>
      </c>
      <c r="K411" s="9" t="str">
        <f t="shared" si="2"/>
        <v/>
      </c>
      <c r="L411" s="9" t="str">
        <f t="shared" si="3"/>
        <v/>
      </c>
      <c r="M411" s="32" t="str">
        <f t="shared" si="4"/>
        <v/>
      </c>
      <c r="N411" s="9" t="str">
        <f t="shared" si="5"/>
        <v/>
      </c>
      <c r="O411" s="9" t="str">
        <f t="shared" si="6"/>
        <v/>
      </c>
      <c r="P411" s="9" t="str">
        <f t="shared" si="7"/>
        <v/>
      </c>
      <c r="Q411" s="9" t="str">
        <f t="shared" si="8"/>
        <v/>
      </c>
      <c r="R411" s="9" t="str">
        <f t="shared" si="9"/>
        <v/>
      </c>
    </row>
    <row r="412">
      <c r="A412" s="1" t="str">
        <f t="shared" si="1"/>
        <v/>
      </c>
      <c r="G412" s="9" t="str">
        <f>IFERROR(__xludf.DUMMYFUNCTION("IF(B412="""","""",ROUND(XLOOKUP(B412, FLATTEN(B$1:E411), FLATTEN(O$1:R411), 500, 0, -1)))"),"")</f>
        <v/>
      </c>
      <c r="H412" s="9" t="str">
        <f>IFERROR(__xludf.DUMMYFUNCTION("IF(C412="""","""",ROUND(XLOOKUP(C412, FLATTEN(B$1:E411), FLATTEN(O$1:R411), 500, 0, -1)))"),"")</f>
        <v/>
      </c>
      <c r="I412" s="9" t="str">
        <f>IFERROR(__xludf.DUMMYFUNCTION("IF(D412="""","""",ROUND(XLOOKUP(D412, FLATTEN(B$1:E411), FLATTEN(O$1:R411), 500, 0, -1)))"),"")</f>
        <v/>
      </c>
      <c r="J412" s="9" t="str">
        <f>IFERROR(__xludf.DUMMYFUNCTION("IF(E412="""","""",ROUND(XLOOKUP(E412, FLATTEN(B$1:E411), FLATTEN(O$1:R411), 500, 0, -1)))"),"")</f>
        <v/>
      </c>
      <c r="K412" s="9" t="str">
        <f t="shared" si="2"/>
        <v/>
      </c>
      <c r="L412" s="9" t="str">
        <f t="shared" si="3"/>
        <v/>
      </c>
      <c r="M412" s="32" t="str">
        <f t="shared" si="4"/>
        <v/>
      </c>
      <c r="N412" s="9" t="str">
        <f t="shared" si="5"/>
        <v/>
      </c>
      <c r="O412" s="9" t="str">
        <f t="shared" si="6"/>
        <v/>
      </c>
      <c r="P412" s="9" t="str">
        <f t="shared" si="7"/>
        <v/>
      </c>
      <c r="Q412" s="9" t="str">
        <f t="shared" si="8"/>
        <v/>
      </c>
      <c r="R412" s="9" t="str">
        <f t="shared" si="9"/>
        <v/>
      </c>
    </row>
    <row r="413">
      <c r="A413" s="1" t="str">
        <f t="shared" si="1"/>
        <v/>
      </c>
      <c r="G413" s="9" t="str">
        <f>IFERROR(__xludf.DUMMYFUNCTION("IF(B413="""","""",ROUND(XLOOKUP(B413, FLATTEN(B$1:E412), FLATTEN(O$1:R412), 500, 0, -1)))"),"")</f>
        <v/>
      </c>
      <c r="H413" s="9" t="str">
        <f>IFERROR(__xludf.DUMMYFUNCTION("IF(C413="""","""",ROUND(XLOOKUP(C413, FLATTEN(B$1:E412), FLATTEN(O$1:R412), 500, 0, -1)))"),"")</f>
        <v/>
      </c>
      <c r="I413" s="9" t="str">
        <f>IFERROR(__xludf.DUMMYFUNCTION("IF(D413="""","""",ROUND(XLOOKUP(D413, FLATTEN(B$1:E412), FLATTEN(O$1:R412), 500, 0, -1)))"),"")</f>
        <v/>
      </c>
      <c r="J413" s="9" t="str">
        <f>IFERROR(__xludf.DUMMYFUNCTION("IF(E413="""","""",ROUND(XLOOKUP(E413, FLATTEN(B$1:E412), FLATTEN(O$1:R412), 500, 0, -1)))"),"")</f>
        <v/>
      </c>
      <c r="K413" s="9" t="str">
        <f t="shared" si="2"/>
        <v/>
      </c>
      <c r="L413" s="9" t="str">
        <f t="shared" si="3"/>
        <v/>
      </c>
      <c r="M413" s="32" t="str">
        <f t="shared" si="4"/>
        <v/>
      </c>
      <c r="N413" s="9" t="str">
        <f t="shared" si="5"/>
        <v/>
      </c>
      <c r="O413" s="9" t="str">
        <f t="shared" si="6"/>
        <v/>
      </c>
      <c r="P413" s="9" t="str">
        <f t="shared" si="7"/>
        <v/>
      </c>
      <c r="Q413" s="9" t="str">
        <f t="shared" si="8"/>
        <v/>
      </c>
      <c r="R413" s="9" t="str">
        <f t="shared" si="9"/>
        <v/>
      </c>
    </row>
    <row r="414">
      <c r="A414" s="1" t="str">
        <f t="shared" si="1"/>
        <v/>
      </c>
      <c r="G414" s="9" t="str">
        <f>IFERROR(__xludf.DUMMYFUNCTION("IF(B414="""","""",ROUND(XLOOKUP(B414, FLATTEN(B$1:E413), FLATTEN(O$1:R413), 500, 0, -1)))"),"")</f>
        <v/>
      </c>
      <c r="H414" s="9" t="str">
        <f>IFERROR(__xludf.DUMMYFUNCTION("IF(C414="""","""",ROUND(XLOOKUP(C414, FLATTEN(B$1:E413), FLATTEN(O$1:R413), 500, 0, -1)))"),"")</f>
        <v/>
      </c>
      <c r="I414" s="9" t="str">
        <f>IFERROR(__xludf.DUMMYFUNCTION("IF(D414="""","""",ROUND(XLOOKUP(D414, FLATTEN(B$1:E413), FLATTEN(O$1:R413), 500, 0, -1)))"),"")</f>
        <v/>
      </c>
      <c r="J414" s="9" t="str">
        <f>IFERROR(__xludf.DUMMYFUNCTION("IF(E414="""","""",ROUND(XLOOKUP(E414, FLATTEN(B$1:E413), FLATTEN(O$1:R413), 500, 0, -1)))"),"")</f>
        <v/>
      </c>
      <c r="K414" s="9" t="str">
        <f t="shared" si="2"/>
        <v/>
      </c>
      <c r="L414" s="9" t="str">
        <f t="shared" si="3"/>
        <v/>
      </c>
      <c r="M414" s="32" t="str">
        <f t="shared" si="4"/>
        <v/>
      </c>
      <c r="N414" s="9" t="str">
        <f t="shared" si="5"/>
        <v/>
      </c>
      <c r="O414" s="9" t="str">
        <f t="shared" si="6"/>
        <v/>
      </c>
      <c r="P414" s="9" t="str">
        <f t="shared" si="7"/>
        <v/>
      </c>
      <c r="Q414" s="9" t="str">
        <f t="shared" si="8"/>
        <v/>
      </c>
      <c r="R414" s="9" t="str">
        <f t="shared" si="9"/>
        <v/>
      </c>
    </row>
    <row r="415">
      <c r="A415" s="1" t="str">
        <f t="shared" si="1"/>
        <v/>
      </c>
      <c r="G415" s="9" t="str">
        <f>IFERROR(__xludf.DUMMYFUNCTION("IF(B415="""","""",ROUND(XLOOKUP(B415, FLATTEN(B$1:E414), FLATTEN(O$1:R414), 500, 0, -1)))"),"")</f>
        <v/>
      </c>
      <c r="H415" s="9" t="str">
        <f>IFERROR(__xludf.DUMMYFUNCTION("IF(C415="""","""",ROUND(XLOOKUP(C415, FLATTEN(B$1:E414), FLATTEN(O$1:R414), 500, 0, -1)))"),"")</f>
        <v/>
      </c>
      <c r="I415" s="9" t="str">
        <f>IFERROR(__xludf.DUMMYFUNCTION("IF(D415="""","""",ROUND(XLOOKUP(D415, FLATTEN(B$1:E414), FLATTEN(O$1:R414), 500, 0, -1)))"),"")</f>
        <v/>
      </c>
      <c r="J415" s="9" t="str">
        <f>IFERROR(__xludf.DUMMYFUNCTION("IF(E415="""","""",ROUND(XLOOKUP(E415, FLATTEN(B$1:E414), FLATTEN(O$1:R414), 500, 0, -1)))"),"")</f>
        <v/>
      </c>
      <c r="K415" s="9" t="str">
        <f t="shared" si="2"/>
        <v/>
      </c>
      <c r="L415" s="9" t="str">
        <f t="shared" si="3"/>
        <v/>
      </c>
      <c r="M415" s="32" t="str">
        <f t="shared" si="4"/>
        <v/>
      </c>
      <c r="N415" s="9" t="str">
        <f t="shared" si="5"/>
        <v/>
      </c>
      <c r="O415" s="9" t="str">
        <f t="shared" si="6"/>
        <v/>
      </c>
      <c r="P415" s="9" t="str">
        <f t="shared" si="7"/>
        <v/>
      </c>
      <c r="Q415" s="9" t="str">
        <f t="shared" si="8"/>
        <v/>
      </c>
      <c r="R415" s="9" t="str">
        <f t="shared" si="9"/>
        <v/>
      </c>
    </row>
    <row r="416">
      <c r="A416" s="1" t="str">
        <f t="shared" si="1"/>
        <v/>
      </c>
      <c r="G416" s="9" t="str">
        <f>IFERROR(__xludf.DUMMYFUNCTION("IF(B416="""","""",ROUND(XLOOKUP(B416, FLATTEN(B$1:E415), FLATTEN(O$1:R415), 500, 0, -1)))"),"")</f>
        <v/>
      </c>
      <c r="H416" s="9" t="str">
        <f>IFERROR(__xludf.DUMMYFUNCTION("IF(C416="""","""",ROUND(XLOOKUP(C416, FLATTEN(B$1:E415), FLATTEN(O$1:R415), 500, 0, -1)))"),"")</f>
        <v/>
      </c>
      <c r="I416" s="9" t="str">
        <f>IFERROR(__xludf.DUMMYFUNCTION("IF(D416="""","""",ROUND(XLOOKUP(D416, FLATTEN(B$1:E415), FLATTEN(O$1:R415), 500, 0, -1)))"),"")</f>
        <v/>
      </c>
      <c r="J416" s="9" t="str">
        <f>IFERROR(__xludf.DUMMYFUNCTION("IF(E416="""","""",ROUND(XLOOKUP(E416, FLATTEN(B$1:E415), FLATTEN(O$1:R415), 500, 0, -1)))"),"")</f>
        <v/>
      </c>
      <c r="K416" s="9" t="str">
        <f t="shared" si="2"/>
        <v/>
      </c>
      <c r="L416" s="9" t="str">
        <f t="shared" si="3"/>
        <v/>
      </c>
      <c r="M416" s="32" t="str">
        <f t="shared" si="4"/>
        <v/>
      </c>
      <c r="N416" s="9" t="str">
        <f t="shared" si="5"/>
        <v/>
      </c>
      <c r="O416" s="9" t="str">
        <f t="shared" si="6"/>
        <v/>
      </c>
      <c r="P416" s="9" t="str">
        <f t="shared" si="7"/>
        <v/>
      </c>
      <c r="Q416" s="9" t="str">
        <f t="shared" si="8"/>
        <v/>
      </c>
      <c r="R416" s="9" t="str">
        <f t="shared" si="9"/>
        <v/>
      </c>
    </row>
    <row r="417">
      <c r="A417" s="1" t="str">
        <f t="shared" si="1"/>
        <v/>
      </c>
      <c r="G417" s="9" t="str">
        <f>IFERROR(__xludf.DUMMYFUNCTION("IF(B417="""","""",ROUND(XLOOKUP(B417, FLATTEN(B$1:E416), FLATTEN(O$1:R416), 500, 0, -1)))"),"")</f>
        <v/>
      </c>
      <c r="H417" s="9" t="str">
        <f>IFERROR(__xludf.DUMMYFUNCTION("IF(C417="""","""",ROUND(XLOOKUP(C417, FLATTEN(B$1:E416), FLATTEN(O$1:R416), 500, 0, -1)))"),"")</f>
        <v/>
      </c>
      <c r="I417" s="9" t="str">
        <f>IFERROR(__xludf.DUMMYFUNCTION("IF(D417="""","""",ROUND(XLOOKUP(D417, FLATTEN(B$1:E416), FLATTEN(O$1:R416), 500, 0, -1)))"),"")</f>
        <v/>
      </c>
      <c r="J417" s="9" t="str">
        <f>IFERROR(__xludf.DUMMYFUNCTION("IF(E417="""","""",ROUND(XLOOKUP(E417, FLATTEN(B$1:E416), FLATTEN(O$1:R416), 500, 0, -1)))"),"")</f>
        <v/>
      </c>
      <c r="K417" s="9" t="str">
        <f t="shared" si="2"/>
        <v/>
      </c>
      <c r="L417" s="9" t="str">
        <f t="shared" si="3"/>
        <v/>
      </c>
      <c r="M417" s="32" t="str">
        <f t="shared" si="4"/>
        <v/>
      </c>
      <c r="N417" s="9" t="str">
        <f t="shared" si="5"/>
        <v/>
      </c>
      <c r="O417" s="9" t="str">
        <f t="shared" si="6"/>
        <v/>
      </c>
      <c r="P417" s="9" t="str">
        <f t="shared" si="7"/>
        <v/>
      </c>
      <c r="Q417" s="9" t="str">
        <f t="shared" si="8"/>
        <v/>
      </c>
      <c r="R417" s="9" t="str">
        <f t="shared" si="9"/>
        <v/>
      </c>
    </row>
    <row r="418">
      <c r="A418" s="1" t="str">
        <f t="shared" si="1"/>
        <v/>
      </c>
      <c r="G418" s="9" t="str">
        <f>IFERROR(__xludf.DUMMYFUNCTION("IF(B418="""","""",ROUND(XLOOKUP(B418, FLATTEN(B$1:E417), FLATTEN(O$1:R417), 500, 0, -1)))"),"")</f>
        <v/>
      </c>
      <c r="H418" s="9" t="str">
        <f>IFERROR(__xludf.DUMMYFUNCTION("IF(C418="""","""",ROUND(XLOOKUP(C418, FLATTEN(B$1:E417), FLATTEN(O$1:R417), 500, 0, -1)))"),"")</f>
        <v/>
      </c>
      <c r="I418" s="9" t="str">
        <f>IFERROR(__xludf.DUMMYFUNCTION("IF(D418="""","""",ROUND(XLOOKUP(D418, FLATTEN(B$1:E417), FLATTEN(O$1:R417), 500, 0, -1)))"),"")</f>
        <v/>
      </c>
      <c r="J418" s="9" t="str">
        <f>IFERROR(__xludf.DUMMYFUNCTION("IF(E418="""","""",ROUND(XLOOKUP(E418, FLATTEN(B$1:E417), FLATTEN(O$1:R417), 500, 0, -1)))"),"")</f>
        <v/>
      </c>
      <c r="K418" s="9" t="str">
        <f t="shared" si="2"/>
        <v/>
      </c>
      <c r="L418" s="9" t="str">
        <f t="shared" si="3"/>
        <v/>
      </c>
      <c r="M418" s="32" t="str">
        <f t="shared" si="4"/>
        <v/>
      </c>
      <c r="N418" s="9" t="str">
        <f t="shared" si="5"/>
        <v/>
      </c>
      <c r="O418" s="9" t="str">
        <f t="shared" si="6"/>
        <v/>
      </c>
      <c r="P418" s="9" t="str">
        <f t="shared" si="7"/>
        <v/>
      </c>
      <c r="Q418" s="9" t="str">
        <f t="shared" si="8"/>
        <v/>
      </c>
      <c r="R418" s="9" t="str">
        <f t="shared" si="9"/>
        <v/>
      </c>
    </row>
    <row r="419">
      <c r="A419" s="1" t="str">
        <f t="shared" si="1"/>
        <v/>
      </c>
      <c r="G419" s="9" t="str">
        <f>IFERROR(__xludf.DUMMYFUNCTION("IF(B419="""","""",ROUND(XLOOKUP(B419, FLATTEN(B$1:E418), FLATTEN(O$1:R418), 500, 0, -1)))"),"")</f>
        <v/>
      </c>
      <c r="H419" s="9" t="str">
        <f>IFERROR(__xludf.DUMMYFUNCTION("IF(C419="""","""",ROUND(XLOOKUP(C419, FLATTEN(B$1:E418), FLATTEN(O$1:R418), 500, 0, -1)))"),"")</f>
        <v/>
      </c>
      <c r="I419" s="9" t="str">
        <f>IFERROR(__xludf.DUMMYFUNCTION("IF(D419="""","""",ROUND(XLOOKUP(D419, FLATTEN(B$1:E418), FLATTEN(O$1:R418), 500, 0, -1)))"),"")</f>
        <v/>
      </c>
      <c r="J419" s="9" t="str">
        <f>IFERROR(__xludf.DUMMYFUNCTION("IF(E419="""","""",ROUND(XLOOKUP(E419, FLATTEN(B$1:E418), FLATTEN(O$1:R418), 500, 0, -1)))"),"")</f>
        <v/>
      </c>
      <c r="K419" s="9" t="str">
        <f t="shared" si="2"/>
        <v/>
      </c>
      <c r="L419" s="9" t="str">
        <f t="shared" si="3"/>
        <v/>
      </c>
      <c r="M419" s="32" t="str">
        <f t="shared" si="4"/>
        <v/>
      </c>
      <c r="N419" s="9" t="str">
        <f t="shared" si="5"/>
        <v/>
      </c>
      <c r="O419" s="9" t="str">
        <f t="shared" si="6"/>
        <v/>
      </c>
      <c r="P419" s="9" t="str">
        <f t="shared" si="7"/>
        <v/>
      </c>
      <c r="Q419" s="9" t="str">
        <f t="shared" si="8"/>
        <v/>
      </c>
      <c r="R419" s="9" t="str">
        <f t="shared" si="9"/>
        <v/>
      </c>
    </row>
    <row r="420">
      <c r="A420" s="1" t="str">
        <f t="shared" si="1"/>
        <v/>
      </c>
      <c r="G420" s="9" t="str">
        <f>IFERROR(__xludf.DUMMYFUNCTION("IF(B420="""","""",ROUND(XLOOKUP(B420, FLATTEN(B$1:E419), FLATTEN(O$1:R419), 500, 0, -1)))"),"")</f>
        <v/>
      </c>
      <c r="H420" s="9" t="str">
        <f>IFERROR(__xludf.DUMMYFUNCTION("IF(C420="""","""",ROUND(XLOOKUP(C420, FLATTEN(B$1:E419), FLATTEN(O$1:R419), 500, 0, -1)))"),"")</f>
        <v/>
      </c>
      <c r="I420" s="9" t="str">
        <f>IFERROR(__xludf.DUMMYFUNCTION("IF(D420="""","""",ROUND(XLOOKUP(D420, FLATTEN(B$1:E419), FLATTEN(O$1:R419), 500, 0, -1)))"),"")</f>
        <v/>
      </c>
      <c r="J420" s="9" t="str">
        <f>IFERROR(__xludf.DUMMYFUNCTION("IF(E420="""","""",ROUND(XLOOKUP(E420, FLATTEN(B$1:E419), FLATTEN(O$1:R419), 500, 0, -1)))"),"")</f>
        <v/>
      </c>
      <c r="K420" s="9" t="str">
        <f t="shared" si="2"/>
        <v/>
      </c>
      <c r="L420" s="9" t="str">
        <f t="shared" si="3"/>
        <v/>
      </c>
      <c r="M420" s="32" t="str">
        <f t="shared" si="4"/>
        <v/>
      </c>
      <c r="N420" s="9" t="str">
        <f t="shared" si="5"/>
        <v/>
      </c>
      <c r="O420" s="9" t="str">
        <f t="shared" si="6"/>
        <v/>
      </c>
      <c r="P420" s="9" t="str">
        <f t="shared" si="7"/>
        <v/>
      </c>
      <c r="Q420" s="9" t="str">
        <f t="shared" si="8"/>
        <v/>
      </c>
      <c r="R420" s="9" t="str">
        <f t="shared" si="9"/>
        <v/>
      </c>
    </row>
    <row r="421">
      <c r="A421" s="1" t="str">
        <f t="shared" si="1"/>
        <v/>
      </c>
      <c r="G421" s="9" t="str">
        <f>IFERROR(__xludf.DUMMYFUNCTION("IF(B421="""","""",ROUND(XLOOKUP(B421, FLATTEN(B$1:E420), FLATTEN(O$1:R420), 500, 0, -1)))"),"")</f>
        <v/>
      </c>
      <c r="H421" s="9" t="str">
        <f>IFERROR(__xludf.DUMMYFUNCTION("IF(C421="""","""",ROUND(XLOOKUP(C421, FLATTEN(B$1:E420), FLATTEN(O$1:R420), 500, 0, -1)))"),"")</f>
        <v/>
      </c>
      <c r="I421" s="9" t="str">
        <f>IFERROR(__xludf.DUMMYFUNCTION("IF(D421="""","""",ROUND(XLOOKUP(D421, FLATTEN(B$1:E420), FLATTEN(O$1:R420), 500, 0, -1)))"),"")</f>
        <v/>
      </c>
      <c r="J421" s="9" t="str">
        <f>IFERROR(__xludf.DUMMYFUNCTION("IF(E421="""","""",ROUND(XLOOKUP(E421, FLATTEN(B$1:E420), FLATTEN(O$1:R420), 500, 0, -1)))"),"")</f>
        <v/>
      </c>
      <c r="K421" s="9" t="str">
        <f t="shared" si="2"/>
        <v/>
      </c>
      <c r="L421" s="9" t="str">
        <f t="shared" si="3"/>
        <v/>
      </c>
      <c r="M421" s="32" t="str">
        <f t="shared" si="4"/>
        <v/>
      </c>
      <c r="N421" s="9" t="str">
        <f t="shared" si="5"/>
        <v/>
      </c>
      <c r="O421" s="9" t="str">
        <f t="shared" si="6"/>
        <v/>
      </c>
      <c r="P421" s="9" t="str">
        <f t="shared" si="7"/>
        <v/>
      </c>
      <c r="Q421" s="9" t="str">
        <f t="shared" si="8"/>
        <v/>
      </c>
      <c r="R421" s="9" t="str">
        <f t="shared" si="9"/>
        <v/>
      </c>
    </row>
    <row r="422">
      <c r="A422" s="1" t="str">
        <f t="shared" si="1"/>
        <v/>
      </c>
      <c r="G422" s="9" t="str">
        <f>IFERROR(__xludf.DUMMYFUNCTION("IF(B422="""","""",ROUND(XLOOKUP(B422, FLATTEN(B$1:E421), FLATTEN(O$1:R421), 500, 0, -1)))"),"")</f>
        <v/>
      </c>
      <c r="H422" s="9" t="str">
        <f>IFERROR(__xludf.DUMMYFUNCTION("IF(C422="""","""",ROUND(XLOOKUP(C422, FLATTEN(B$1:E421), FLATTEN(O$1:R421), 500, 0, -1)))"),"")</f>
        <v/>
      </c>
      <c r="I422" s="9" t="str">
        <f>IFERROR(__xludf.DUMMYFUNCTION("IF(D422="""","""",ROUND(XLOOKUP(D422, FLATTEN(B$1:E421), FLATTEN(O$1:R421), 500, 0, -1)))"),"")</f>
        <v/>
      </c>
      <c r="J422" s="9" t="str">
        <f>IFERROR(__xludf.DUMMYFUNCTION("IF(E422="""","""",ROUND(XLOOKUP(E422, FLATTEN(B$1:E421), FLATTEN(O$1:R421), 500, 0, -1)))"),"")</f>
        <v/>
      </c>
      <c r="K422" s="9" t="str">
        <f t="shared" si="2"/>
        <v/>
      </c>
      <c r="L422" s="9" t="str">
        <f t="shared" si="3"/>
        <v/>
      </c>
      <c r="M422" s="32" t="str">
        <f t="shared" si="4"/>
        <v/>
      </c>
      <c r="N422" s="9" t="str">
        <f t="shared" si="5"/>
        <v/>
      </c>
      <c r="O422" s="9" t="str">
        <f t="shared" si="6"/>
        <v/>
      </c>
      <c r="P422" s="9" t="str">
        <f t="shared" si="7"/>
        <v/>
      </c>
      <c r="Q422" s="9" t="str">
        <f t="shared" si="8"/>
        <v/>
      </c>
      <c r="R422" s="9" t="str">
        <f t="shared" si="9"/>
        <v/>
      </c>
    </row>
    <row r="423">
      <c r="A423" s="1" t="str">
        <f t="shared" si="1"/>
        <v/>
      </c>
      <c r="G423" s="9" t="str">
        <f>IFERROR(__xludf.DUMMYFUNCTION("IF(B423="""","""",ROUND(XLOOKUP(B423, FLATTEN(B$1:E422), FLATTEN(O$1:R422), 500, 0, -1)))"),"")</f>
        <v/>
      </c>
      <c r="H423" s="9" t="str">
        <f>IFERROR(__xludf.DUMMYFUNCTION("IF(C423="""","""",ROUND(XLOOKUP(C423, FLATTEN(B$1:E422), FLATTEN(O$1:R422), 500, 0, -1)))"),"")</f>
        <v/>
      </c>
      <c r="I423" s="9" t="str">
        <f>IFERROR(__xludf.DUMMYFUNCTION("IF(D423="""","""",ROUND(XLOOKUP(D423, FLATTEN(B$1:E422), FLATTEN(O$1:R422), 500, 0, -1)))"),"")</f>
        <v/>
      </c>
      <c r="J423" s="9" t="str">
        <f>IFERROR(__xludf.DUMMYFUNCTION("IF(E423="""","""",ROUND(XLOOKUP(E423, FLATTEN(B$1:E422), FLATTEN(O$1:R422), 500, 0, -1)))"),"")</f>
        <v/>
      </c>
      <c r="K423" s="9" t="str">
        <f t="shared" si="2"/>
        <v/>
      </c>
      <c r="L423" s="9" t="str">
        <f t="shared" si="3"/>
        <v/>
      </c>
      <c r="M423" s="32" t="str">
        <f t="shared" si="4"/>
        <v/>
      </c>
      <c r="N423" s="9" t="str">
        <f t="shared" si="5"/>
        <v/>
      </c>
      <c r="O423" s="9" t="str">
        <f t="shared" si="6"/>
        <v/>
      </c>
      <c r="P423" s="9" t="str">
        <f t="shared" si="7"/>
        <v/>
      </c>
      <c r="Q423" s="9" t="str">
        <f t="shared" si="8"/>
        <v/>
      </c>
      <c r="R423" s="9" t="str">
        <f t="shared" si="9"/>
        <v/>
      </c>
    </row>
    <row r="424">
      <c r="A424" s="1" t="str">
        <f t="shared" si="1"/>
        <v/>
      </c>
      <c r="G424" s="9" t="str">
        <f>IFERROR(__xludf.DUMMYFUNCTION("IF(B424="""","""",ROUND(XLOOKUP(B424, FLATTEN(B$1:E423), FLATTEN(O$1:R423), 500, 0, -1)))"),"")</f>
        <v/>
      </c>
      <c r="H424" s="9" t="str">
        <f>IFERROR(__xludf.DUMMYFUNCTION("IF(C424="""","""",ROUND(XLOOKUP(C424, FLATTEN(B$1:E423), FLATTEN(O$1:R423), 500, 0, -1)))"),"")</f>
        <v/>
      </c>
      <c r="I424" s="9" t="str">
        <f>IFERROR(__xludf.DUMMYFUNCTION("IF(D424="""","""",ROUND(XLOOKUP(D424, FLATTEN(B$1:E423), FLATTEN(O$1:R423), 500, 0, -1)))"),"")</f>
        <v/>
      </c>
      <c r="J424" s="9" t="str">
        <f>IFERROR(__xludf.DUMMYFUNCTION("IF(E424="""","""",ROUND(XLOOKUP(E424, FLATTEN(B$1:E423), FLATTEN(O$1:R423), 500, 0, -1)))"),"")</f>
        <v/>
      </c>
      <c r="K424" s="9" t="str">
        <f t="shared" si="2"/>
        <v/>
      </c>
      <c r="L424" s="9" t="str">
        <f t="shared" si="3"/>
        <v/>
      </c>
      <c r="M424" s="32" t="str">
        <f t="shared" si="4"/>
        <v/>
      </c>
      <c r="N424" s="9" t="str">
        <f t="shared" si="5"/>
        <v/>
      </c>
      <c r="O424" s="9" t="str">
        <f t="shared" si="6"/>
        <v/>
      </c>
      <c r="P424" s="9" t="str">
        <f t="shared" si="7"/>
        <v/>
      </c>
      <c r="Q424" s="9" t="str">
        <f t="shared" si="8"/>
        <v/>
      </c>
      <c r="R424" s="9" t="str">
        <f t="shared" si="9"/>
        <v/>
      </c>
    </row>
    <row r="425">
      <c r="A425" s="1" t="str">
        <f t="shared" si="1"/>
        <v/>
      </c>
      <c r="G425" s="9" t="str">
        <f>IFERROR(__xludf.DUMMYFUNCTION("IF(B425="""","""",ROUND(XLOOKUP(B425, FLATTEN(B$1:E424), FLATTEN(O$1:R424), 500, 0, -1)))"),"")</f>
        <v/>
      </c>
      <c r="H425" s="9" t="str">
        <f>IFERROR(__xludf.DUMMYFUNCTION("IF(C425="""","""",ROUND(XLOOKUP(C425, FLATTEN(B$1:E424), FLATTEN(O$1:R424), 500, 0, -1)))"),"")</f>
        <v/>
      </c>
      <c r="I425" s="9" t="str">
        <f>IFERROR(__xludf.DUMMYFUNCTION("IF(D425="""","""",ROUND(XLOOKUP(D425, FLATTEN(B$1:E424), FLATTEN(O$1:R424), 500, 0, -1)))"),"")</f>
        <v/>
      </c>
      <c r="J425" s="9" t="str">
        <f>IFERROR(__xludf.DUMMYFUNCTION("IF(E425="""","""",ROUND(XLOOKUP(E425, FLATTEN(B$1:E424), FLATTEN(O$1:R424), 500, 0, -1)))"),"")</f>
        <v/>
      </c>
      <c r="K425" s="9" t="str">
        <f t="shared" si="2"/>
        <v/>
      </c>
      <c r="L425" s="9" t="str">
        <f t="shared" si="3"/>
        <v/>
      </c>
      <c r="M425" s="32" t="str">
        <f t="shared" si="4"/>
        <v/>
      </c>
      <c r="N425" s="9" t="str">
        <f t="shared" si="5"/>
        <v/>
      </c>
      <c r="O425" s="9" t="str">
        <f t="shared" si="6"/>
        <v/>
      </c>
      <c r="P425" s="9" t="str">
        <f t="shared" si="7"/>
        <v/>
      </c>
      <c r="Q425" s="9" t="str">
        <f t="shared" si="8"/>
        <v/>
      </c>
      <c r="R425" s="9" t="str">
        <f t="shared" si="9"/>
        <v/>
      </c>
    </row>
    <row r="426">
      <c r="A426" s="1" t="str">
        <f t="shared" si="1"/>
        <v/>
      </c>
      <c r="G426" s="9" t="str">
        <f>IFERROR(__xludf.DUMMYFUNCTION("IF(B426="""","""",ROUND(XLOOKUP(B426, FLATTEN(B$1:E425), FLATTEN(O$1:R425), 500, 0, -1)))"),"")</f>
        <v/>
      </c>
      <c r="H426" s="9" t="str">
        <f>IFERROR(__xludf.DUMMYFUNCTION("IF(C426="""","""",ROUND(XLOOKUP(C426, FLATTEN(B$1:E425), FLATTEN(O$1:R425), 500, 0, -1)))"),"")</f>
        <v/>
      </c>
      <c r="I426" s="9" t="str">
        <f>IFERROR(__xludf.DUMMYFUNCTION("IF(D426="""","""",ROUND(XLOOKUP(D426, FLATTEN(B$1:E425), FLATTEN(O$1:R425), 500, 0, -1)))"),"")</f>
        <v/>
      </c>
      <c r="J426" s="9" t="str">
        <f>IFERROR(__xludf.DUMMYFUNCTION("IF(E426="""","""",ROUND(XLOOKUP(E426, FLATTEN(B$1:E425), FLATTEN(O$1:R425), 500, 0, -1)))"),"")</f>
        <v/>
      </c>
      <c r="K426" s="9" t="str">
        <f t="shared" si="2"/>
        <v/>
      </c>
      <c r="L426" s="9" t="str">
        <f t="shared" si="3"/>
        <v/>
      </c>
      <c r="M426" s="32" t="str">
        <f t="shared" si="4"/>
        <v/>
      </c>
      <c r="N426" s="9" t="str">
        <f t="shared" si="5"/>
        <v/>
      </c>
      <c r="O426" s="9" t="str">
        <f t="shared" si="6"/>
        <v/>
      </c>
      <c r="P426" s="9" t="str">
        <f t="shared" si="7"/>
        <v/>
      </c>
      <c r="Q426" s="9" t="str">
        <f t="shared" si="8"/>
        <v/>
      </c>
      <c r="R426" s="9" t="str">
        <f t="shared" si="9"/>
        <v/>
      </c>
    </row>
    <row r="427">
      <c r="A427" s="1" t="str">
        <f t="shared" si="1"/>
        <v/>
      </c>
      <c r="G427" s="9" t="str">
        <f>IFERROR(__xludf.DUMMYFUNCTION("IF(B427="""","""",ROUND(XLOOKUP(B427, FLATTEN(B$1:E426), FLATTEN(O$1:R426), 500, 0, -1)))"),"")</f>
        <v/>
      </c>
      <c r="H427" s="9" t="str">
        <f>IFERROR(__xludf.DUMMYFUNCTION("IF(C427="""","""",ROUND(XLOOKUP(C427, FLATTEN(B$1:E426), FLATTEN(O$1:R426), 500, 0, -1)))"),"")</f>
        <v/>
      </c>
      <c r="I427" s="9" t="str">
        <f>IFERROR(__xludf.DUMMYFUNCTION("IF(D427="""","""",ROUND(XLOOKUP(D427, FLATTEN(B$1:E426), FLATTEN(O$1:R426), 500, 0, -1)))"),"")</f>
        <v/>
      </c>
      <c r="J427" s="9" t="str">
        <f>IFERROR(__xludf.DUMMYFUNCTION("IF(E427="""","""",ROUND(XLOOKUP(E427, FLATTEN(B$1:E426), FLATTEN(O$1:R426), 500, 0, -1)))"),"")</f>
        <v/>
      </c>
      <c r="K427" s="9" t="str">
        <f t="shared" si="2"/>
        <v/>
      </c>
      <c r="L427" s="9" t="str">
        <f t="shared" si="3"/>
        <v/>
      </c>
      <c r="M427" s="32" t="str">
        <f t="shared" si="4"/>
        <v/>
      </c>
      <c r="N427" s="9" t="str">
        <f t="shared" si="5"/>
        <v/>
      </c>
      <c r="O427" s="9" t="str">
        <f t="shared" si="6"/>
        <v/>
      </c>
      <c r="P427" s="9" t="str">
        <f t="shared" si="7"/>
        <v/>
      </c>
      <c r="Q427" s="9" t="str">
        <f t="shared" si="8"/>
        <v/>
      </c>
      <c r="R427" s="9" t="str">
        <f t="shared" si="9"/>
        <v/>
      </c>
    </row>
    <row r="428">
      <c r="A428" s="1" t="str">
        <f t="shared" si="1"/>
        <v/>
      </c>
      <c r="G428" s="9" t="str">
        <f>IFERROR(__xludf.DUMMYFUNCTION("IF(B428="""","""",ROUND(XLOOKUP(B428, FLATTEN(B$1:E427), FLATTEN(O$1:R427), 500, 0, -1)))"),"")</f>
        <v/>
      </c>
      <c r="H428" s="9" t="str">
        <f>IFERROR(__xludf.DUMMYFUNCTION("IF(C428="""","""",ROUND(XLOOKUP(C428, FLATTEN(B$1:E427), FLATTEN(O$1:R427), 500, 0, -1)))"),"")</f>
        <v/>
      </c>
      <c r="I428" s="9" t="str">
        <f>IFERROR(__xludf.DUMMYFUNCTION("IF(D428="""","""",ROUND(XLOOKUP(D428, FLATTEN(B$1:E427), FLATTEN(O$1:R427), 500, 0, -1)))"),"")</f>
        <v/>
      </c>
      <c r="J428" s="9" t="str">
        <f>IFERROR(__xludf.DUMMYFUNCTION("IF(E428="""","""",ROUND(XLOOKUP(E428, FLATTEN(B$1:E427), FLATTEN(O$1:R427), 500, 0, -1)))"),"")</f>
        <v/>
      </c>
      <c r="K428" s="9" t="str">
        <f t="shared" si="2"/>
        <v/>
      </c>
      <c r="L428" s="9" t="str">
        <f t="shared" si="3"/>
        <v/>
      </c>
      <c r="M428" s="32" t="str">
        <f t="shared" si="4"/>
        <v/>
      </c>
      <c r="N428" s="9" t="str">
        <f t="shared" si="5"/>
        <v/>
      </c>
      <c r="O428" s="9" t="str">
        <f t="shared" si="6"/>
        <v/>
      </c>
      <c r="P428" s="9" t="str">
        <f t="shared" si="7"/>
        <v/>
      </c>
      <c r="Q428" s="9" t="str">
        <f t="shared" si="8"/>
        <v/>
      </c>
      <c r="R428" s="9" t="str">
        <f t="shared" si="9"/>
        <v/>
      </c>
    </row>
    <row r="429">
      <c r="A429" s="1" t="str">
        <f t="shared" si="1"/>
        <v/>
      </c>
      <c r="G429" s="9" t="str">
        <f>IFERROR(__xludf.DUMMYFUNCTION("IF(B429="""","""",ROUND(XLOOKUP(B429, FLATTEN(B$1:E428), FLATTEN(O$1:R428), 500, 0, -1)))"),"")</f>
        <v/>
      </c>
      <c r="H429" s="9" t="str">
        <f>IFERROR(__xludf.DUMMYFUNCTION("IF(C429="""","""",ROUND(XLOOKUP(C429, FLATTEN(B$1:E428), FLATTEN(O$1:R428), 500, 0, -1)))"),"")</f>
        <v/>
      </c>
      <c r="I429" s="9" t="str">
        <f>IFERROR(__xludf.DUMMYFUNCTION("IF(D429="""","""",ROUND(XLOOKUP(D429, FLATTEN(B$1:E428), FLATTEN(O$1:R428), 500, 0, -1)))"),"")</f>
        <v/>
      </c>
      <c r="J429" s="9" t="str">
        <f>IFERROR(__xludf.DUMMYFUNCTION("IF(E429="""","""",ROUND(XLOOKUP(E429, FLATTEN(B$1:E428), FLATTEN(O$1:R428), 500, 0, -1)))"),"")</f>
        <v/>
      </c>
      <c r="K429" s="9" t="str">
        <f t="shared" si="2"/>
        <v/>
      </c>
      <c r="L429" s="9" t="str">
        <f t="shared" si="3"/>
        <v/>
      </c>
      <c r="M429" s="32" t="str">
        <f t="shared" si="4"/>
        <v/>
      </c>
      <c r="N429" s="9" t="str">
        <f t="shared" si="5"/>
        <v/>
      </c>
      <c r="O429" s="9" t="str">
        <f t="shared" si="6"/>
        <v/>
      </c>
      <c r="P429" s="9" t="str">
        <f t="shared" si="7"/>
        <v/>
      </c>
      <c r="Q429" s="9" t="str">
        <f t="shared" si="8"/>
        <v/>
      </c>
      <c r="R429" s="9" t="str">
        <f t="shared" si="9"/>
        <v/>
      </c>
    </row>
    <row r="430">
      <c r="A430" s="1" t="str">
        <f t="shared" si="1"/>
        <v/>
      </c>
      <c r="G430" s="9" t="str">
        <f>IFERROR(__xludf.DUMMYFUNCTION("IF(B430="""","""",ROUND(XLOOKUP(B430, FLATTEN(B$1:E429), FLATTEN(O$1:R429), 500, 0, -1)))"),"")</f>
        <v/>
      </c>
      <c r="H430" s="9" t="str">
        <f>IFERROR(__xludf.DUMMYFUNCTION("IF(C430="""","""",ROUND(XLOOKUP(C430, FLATTEN(B$1:E429), FLATTEN(O$1:R429), 500, 0, -1)))"),"")</f>
        <v/>
      </c>
      <c r="I430" s="9" t="str">
        <f>IFERROR(__xludf.DUMMYFUNCTION("IF(D430="""","""",ROUND(XLOOKUP(D430, FLATTEN(B$1:E429), FLATTEN(O$1:R429), 500, 0, -1)))"),"")</f>
        <v/>
      </c>
      <c r="J430" s="9" t="str">
        <f>IFERROR(__xludf.DUMMYFUNCTION("IF(E430="""","""",ROUND(XLOOKUP(E430, FLATTEN(B$1:E429), FLATTEN(O$1:R429), 500, 0, -1)))"),"")</f>
        <v/>
      </c>
      <c r="K430" s="9" t="str">
        <f t="shared" si="2"/>
        <v/>
      </c>
      <c r="L430" s="9" t="str">
        <f t="shared" si="3"/>
        <v/>
      </c>
      <c r="M430" s="32" t="str">
        <f t="shared" si="4"/>
        <v/>
      </c>
      <c r="N430" s="9" t="str">
        <f t="shared" si="5"/>
        <v/>
      </c>
      <c r="O430" s="9" t="str">
        <f t="shared" si="6"/>
        <v/>
      </c>
      <c r="P430" s="9" t="str">
        <f t="shared" si="7"/>
        <v/>
      </c>
      <c r="Q430" s="9" t="str">
        <f t="shared" si="8"/>
        <v/>
      </c>
      <c r="R430" s="9" t="str">
        <f t="shared" si="9"/>
        <v/>
      </c>
    </row>
    <row r="431">
      <c r="A431" s="1" t="str">
        <f t="shared" si="1"/>
        <v/>
      </c>
      <c r="G431" s="9" t="str">
        <f>IFERROR(__xludf.DUMMYFUNCTION("IF(B431="""","""",ROUND(XLOOKUP(B431, FLATTEN(B$1:E430), FLATTEN(O$1:R430), 500, 0, -1)))"),"")</f>
        <v/>
      </c>
      <c r="H431" s="9" t="str">
        <f>IFERROR(__xludf.DUMMYFUNCTION("IF(C431="""","""",ROUND(XLOOKUP(C431, FLATTEN(B$1:E430), FLATTEN(O$1:R430), 500, 0, -1)))"),"")</f>
        <v/>
      </c>
      <c r="I431" s="9" t="str">
        <f>IFERROR(__xludf.DUMMYFUNCTION("IF(D431="""","""",ROUND(XLOOKUP(D431, FLATTEN(B$1:E430), FLATTEN(O$1:R430), 500, 0, -1)))"),"")</f>
        <v/>
      </c>
      <c r="J431" s="9" t="str">
        <f>IFERROR(__xludf.DUMMYFUNCTION("IF(E431="""","""",ROUND(XLOOKUP(E431, FLATTEN(B$1:E430), FLATTEN(O$1:R430), 500, 0, -1)))"),"")</f>
        <v/>
      </c>
      <c r="K431" s="9" t="str">
        <f t="shared" si="2"/>
        <v/>
      </c>
      <c r="L431" s="9" t="str">
        <f t="shared" si="3"/>
        <v/>
      </c>
      <c r="M431" s="32" t="str">
        <f t="shared" si="4"/>
        <v/>
      </c>
      <c r="N431" s="9" t="str">
        <f t="shared" si="5"/>
        <v/>
      </c>
      <c r="O431" s="9" t="str">
        <f t="shared" si="6"/>
        <v/>
      </c>
      <c r="P431" s="9" t="str">
        <f t="shared" si="7"/>
        <v/>
      </c>
      <c r="Q431" s="9" t="str">
        <f t="shared" si="8"/>
        <v/>
      </c>
      <c r="R431" s="9" t="str">
        <f t="shared" si="9"/>
        <v/>
      </c>
    </row>
    <row r="432">
      <c r="A432" s="1" t="str">
        <f t="shared" si="1"/>
        <v/>
      </c>
      <c r="G432" s="9" t="str">
        <f>IFERROR(__xludf.DUMMYFUNCTION("IF(B432="""","""",ROUND(XLOOKUP(B432, FLATTEN(B$1:E431), FLATTEN(O$1:R431), 500, 0, -1)))"),"")</f>
        <v/>
      </c>
      <c r="H432" s="9" t="str">
        <f>IFERROR(__xludf.DUMMYFUNCTION("IF(C432="""","""",ROUND(XLOOKUP(C432, FLATTEN(B$1:E431), FLATTEN(O$1:R431), 500, 0, -1)))"),"")</f>
        <v/>
      </c>
      <c r="I432" s="9" t="str">
        <f>IFERROR(__xludf.DUMMYFUNCTION("IF(D432="""","""",ROUND(XLOOKUP(D432, FLATTEN(B$1:E431), FLATTEN(O$1:R431), 500, 0, -1)))"),"")</f>
        <v/>
      </c>
      <c r="J432" s="9" t="str">
        <f>IFERROR(__xludf.DUMMYFUNCTION("IF(E432="""","""",ROUND(XLOOKUP(E432, FLATTEN(B$1:E431), FLATTEN(O$1:R431), 500, 0, -1)))"),"")</f>
        <v/>
      </c>
      <c r="K432" s="9" t="str">
        <f t="shared" si="2"/>
        <v/>
      </c>
      <c r="L432" s="9" t="str">
        <f t="shared" si="3"/>
        <v/>
      </c>
      <c r="M432" s="32" t="str">
        <f t="shared" si="4"/>
        <v/>
      </c>
      <c r="N432" s="9" t="str">
        <f t="shared" si="5"/>
        <v/>
      </c>
      <c r="O432" s="9" t="str">
        <f t="shared" si="6"/>
        <v/>
      </c>
      <c r="P432" s="9" t="str">
        <f t="shared" si="7"/>
        <v/>
      </c>
      <c r="Q432" s="9" t="str">
        <f t="shared" si="8"/>
        <v/>
      </c>
      <c r="R432" s="9" t="str">
        <f t="shared" si="9"/>
        <v/>
      </c>
    </row>
    <row r="433">
      <c r="A433" s="1" t="str">
        <f t="shared" si="1"/>
        <v/>
      </c>
      <c r="G433" s="9" t="str">
        <f>IFERROR(__xludf.DUMMYFUNCTION("IF(B433="""","""",ROUND(XLOOKUP(B433, FLATTEN(B$1:E432), FLATTEN(O$1:R432), 500, 0, -1)))"),"")</f>
        <v/>
      </c>
      <c r="H433" s="9" t="str">
        <f>IFERROR(__xludf.DUMMYFUNCTION("IF(C433="""","""",ROUND(XLOOKUP(C433, FLATTEN(B$1:E432), FLATTEN(O$1:R432), 500, 0, -1)))"),"")</f>
        <v/>
      </c>
      <c r="I433" s="9" t="str">
        <f>IFERROR(__xludf.DUMMYFUNCTION("IF(D433="""","""",ROUND(XLOOKUP(D433, FLATTEN(B$1:E432), FLATTEN(O$1:R432), 500, 0, -1)))"),"")</f>
        <v/>
      </c>
      <c r="J433" s="9" t="str">
        <f>IFERROR(__xludf.DUMMYFUNCTION("IF(E433="""","""",ROUND(XLOOKUP(E433, FLATTEN(B$1:E432), FLATTEN(O$1:R432), 500, 0, -1)))"),"")</f>
        <v/>
      </c>
      <c r="K433" s="9" t="str">
        <f t="shared" si="2"/>
        <v/>
      </c>
      <c r="L433" s="9" t="str">
        <f t="shared" si="3"/>
        <v/>
      </c>
      <c r="M433" s="32" t="str">
        <f t="shared" si="4"/>
        <v/>
      </c>
      <c r="N433" s="9" t="str">
        <f t="shared" si="5"/>
        <v/>
      </c>
      <c r="O433" s="9" t="str">
        <f t="shared" si="6"/>
        <v/>
      </c>
      <c r="P433" s="9" t="str">
        <f t="shared" si="7"/>
        <v/>
      </c>
      <c r="Q433" s="9" t="str">
        <f t="shared" si="8"/>
        <v/>
      </c>
      <c r="R433" s="9" t="str">
        <f t="shared" si="9"/>
        <v/>
      </c>
    </row>
    <row r="434">
      <c r="A434" s="1" t="str">
        <f t="shared" si="1"/>
        <v/>
      </c>
      <c r="G434" s="9" t="str">
        <f>IFERROR(__xludf.DUMMYFUNCTION("IF(B434="""","""",ROUND(XLOOKUP(B434, FLATTEN(B$1:E433), FLATTEN(O$1:R433), 500, 0, -1)))"),"")</f>
        <v/>
      </c>
      <c r="H434" s="9" t="str">
        <f>IFERROR(__xludf.DUMMYFUNCTION("IF(C434="""","""",ROUND(XLOOKUP(C434, FLATTEN(B$1:E433), FLATTEN(O$1:R433), 500, 0, -1)))"),"")</f>
        <v/>
      </c>
      <c r="I434" s="9" t="str">
        <f>IFERROR(__xludf.DUMMYFUNCTION("IF(D434="""","""",ROUND(XLOOKUP(D434, FLATTEN(B$1:E433), FLATTEN(O$1:R433), 500, 0, -1)))"),"")</f>
        <v/>
      </c>
      <c r="J434" s="9" t="str">
        <f>IFERROR(__xludf.DUMMYFUNCTION("IF(E434="""","""",ROUND(XLOOKUP(E434, FLATTEN(B$1:E433), FLATTEN(O$1:R433), 500, 0, -1)))"),"")</f>
        <v/>
      </c>
      <c r="K434" s="9" t="str">
        <f t="shared" si="2"/>
        <v/>
      </c>
      <c r="L434" s="9" t="str">
        <f t="shared" si="3"/>
        <v/>
      </c>
      <c r="M434" s="32" t="str">
        <f t="shared" si="4"/>
        <v/>
      </c>
      <c r="N434" s="9" t="str">
        <f t="shared" si="5"/>
        <v/>
      </c>
      <c r="O434" s="9" t="str">
        <f t="shared" si="6"/>
        <v/>
      </c>
      <c r="P434" s="9" t="str">
        <f t="shared" si="7"/>
        <v/>
      </c>
      <c r="Q434" s="9" t="str">
        <f t="shared" si="8"/>
        <v/>
      </c>
      <c r="R434" s="9" t="str">
        <f t="shared" si="9"/>
        <v/>
      </c>
    </row>
    <row r="435">
      <c r="A435" s="1" t="str">
        <f t="shared" si="1"/>
        <v/>
      </c>
      <c r="G435" s="9" t="str">
        <f>IFERROR(__xludf.DUMMYFUNCTION("IF(B435="""","""",ROUND(XLOOKUP(B435, FLATTEN(B$1:E434), FLATTEN(O$1:R434), 500, 0, -1)))"),"")</f>
        <v/>
      </c>
      <c r="H435" s="9" t="str">
        <f>IFERROR(__xludf.DUMMYFUNCTION("IF(C435="""","""",ROUND(XLOOKUP(C435, FLATTEN(B$1:E434), FLATTEN(O$1:R434), 500, 0, -1)))"),"")</f>
        <v/>
      </c>
      <c r="I435" s="9" t="str">
        <f>IFERROR(__xludf.DUMMYFUNCTION("IF(D435="""","""",ROUND(XLOOKUP(D435, FLATTEN(B$1:E434), FLATTEN(O$1:R434), 500, 0, -1)))"),"")</f>
        <v/>
      </c>
      <c r="J435" s="9" t="str">
        <f>IFERROR(__xludf.DUMMYFUNCTION("IF(E435="""","""",ROUND(XLOOKUP(E435, FLATTEN(B$1:E434), FLATTEN(O$1:R434), 500, 0, -1)))"),"")</f>
        <v/>
      </c>
      <c r="K435" s="9" t="str">
        <f t="shared" si="2"/>
        <v/>
      </c>
      <c r="L435" s="9" t="str">
        <f t="shared" si="3"/>
        <v/>
      </c>
      <c r="M435" s="32" t="str">
        <f t="shared" si="4"/>
        <v/>
      </c>
      <c r="N435" s="9" t="str">
        <f t="shared" si="5"/>
        <v/>
      </c>
      <c r="O435" s="9" t="str">
        <f t="shared" si="6"/>
        <v/>
      </c>
      <c r="P435" s="9" t="str">
        <f t="shared" si="7"/>
        <v/>
      </c>
      <c r="Q435" s="9" t="str">
        <f t="shared" si="8"/>
        <v/>
      </c>
      <c r="R435" s="9" t="str">
        <f t="shared" si="9"/>
        <v/>
      </c>
    </row>
    <row r="436">
      <c r="A436" s="1" t="str">
        <f t="shared" si="1"/>
        <v/>
      </c>
      <c r="G436" s="9" t="str">
        <f>IFERROR(__xludf.DUMMYFUNCTION("IF(B436="""","""",ROUND(XLOOKUP(B436, FLATTEN(B$1:E435), FLATTEN(O$1:R435), 500, 0, -1)))"),"")</f>
        <v/>
      </c>
      <c r="H436" s="9" t="str">
        <f>IFERROR(__xludf.DUMMYFUNCTION("IF(C436="""","""",ROUND(XLOOKUP(C436, FLATTEN(B$1:E435), FLATTEN(O$1:R435), 500, 0, -1)))"),"")</f>
        <v/>
      </c>
      <c r="I436" s="9" t="str">
        <f>IFERROR(__xludf.DUMMYFUNCTION("IF(D436="""","""",ROUND(XLOOKUP(D436, FLATTEN(B$1:E435), FLATTEN(O$1:R435), 500, 0, -1)))"),"")</f>
        <v/>
      </c>
      <c r="J436" s="9" t="str">
        <f>IFERROR(__xludf.DUMMYFUNCTION("IF(E436="""","""",ROUND(XLOOKUP(E436, FLATTEN(B$1:E435), FLATTEN(O$1:R435), 500, 0, -1)))"),"")</f>
        <v/>
      </c>
      <c r="K436" s="9" t="str">
        <f t="shared" si="2"/>
        <v/>
      </c>
      <c r="L436" s="9" t="str">
        <f t="shared" si="3"/>
        <v/>
      </c>
      <c r="M436" s="32" t="str">
        <f t="shared" si="4"/>
        <v/>
      </c>
      <c r="N436" s="9" t="str">
        <f t="shared" si="5"/>
        <v/>
      </c>
      <c r="O436" s="9" t="str">
        <f t="shared" si="6"/>
        <v/>
      </c>
      <c r="P436" s="9" t="str">
        <f t="shared" si="7"/>
        <v/>
      </c>
      <c r="Q436" s="9" t="str">
        <f t="shared" si="8"/>
        <v/>
      </c>
      <c r="R436" s="9" t="str">
        <f t="shared" si="9"/>
        <v/>
      </c>
    </row>
    <row r="437">
      <c r="A437" s="1" t="str">
        <f t="shared" si="1"/>
        <v/>
      </c>
      <c r="G437" s="9" t="str">
        <f>IFERROR(__xludf.DUMMYFUNCTION("IF(B437="""","""",ROUND(XLOOKUP(B437, FLATTEN(B$1:E436), FLATTEN(O$1:R436), 500, 0, -1)))"),"")</f>
        <v/>
      </c>
      <c r="H437" s="9" t="str">
        <f>IFERROR(__xludf.DUMMYFUNCTION("IF(C437="""","""",ROUND(XLOOKUP(C437, FLATTEN(B$1:E436), FLATTEN(O$1:R436), 500, 0, -1)))"),"")</f>
        <v/>
      </c>
      <c r="I437" s="9" t="str">
        <f>IFERROR(__xludf.DUMMYFUNCTION("IF(D437="""","""",ROUND(XLOOKUP(D437, FLATTEN(B$1:E436), FLATTEN(O$1:R436), 500, 0, -1)))"),"")</f>
        <v/>
      </c>
      <c r="J437" s="9" t="str">
        <f>IFERROR(__xludf.DUMMYFUNCTION("IF(E437="""","""",ROUND(XLOOKUP(E437, FLATTEN(B$1:E436), FLATTEN(O$1:R436), 500, 0, -1)))"),"")</f>
        <v/>
      </c>
      <c r="K437" s="9" t="str">
        <f t="shared" si="2"/>
        <v/>
      </c>
      <c r="L437" s="9" t="str">
        <f t="shared" si="3"/>
        <v/>
      </c>
      <c r="M437" s="32" t="str">
        <f t="shared" si="4"/>
        <v/>
      </c>
      <c r="N437" s="9" t="str">
        <f t="shared" si="5"/>
        <v/>
      </c>
      <c r="O437" s="9" t="str">
        <f t="shared" si="6"/>
        <v/>
      </c>
      <c r="P437" s="9" t="str">
        <f t="shared" si="7"/>
        <v/>
      </c>
      <c r="Q437" s="9" t="str">
        <f t="shared" si="8"/>
        <v/>
      </c>
      <c r="R437" s="9" t="str">
        <f t="shared" si="9"/>
        <v/>
      </c>
    </row>
    <row r="438">
      <c r="A438" s="1" t="str">
        <f t="shared" si="1"/>
        <v/>
      </c>
      <c r="G438" s="9" t="str">
        <f>IFERROR(__xludf.DUMMYFUNCTION("IF(B438="""","""",ROUND(XLOOKUP(B438, FLATTEN(B$1:E437), FLATTEN(O$1:R437), 500, 0, -1)))"),"")</f>
        <v/>
      </c>
      <c r="H438" s="9" t="str">
        <f>IFERROR(__xludf.DUMMYFUNCTION("IF(C438="""","""",ROUND(XLOOKUP(C438, FLATTEN(B$1:E437), FLATTEN(O$1:R437), 500, 0, -1)))"),"")</f>
        <v/>
      </c>
      <c r="I438" s="9" t="str">
        <f>IFERROR(__xludf.DUMMYFUNCTION("IF(D438="""","""",ROUND(XLOOKUP(D438, FLATTEN(B$1:E437), FLATTEN(O$1:R437), 500, 0, -1)))"),"")</f>
        <v/>
      </c>
      <c r="J438" s="9" t="str">
        <f>IFERROR(__xludf.DUMMYFUNCTION("IF(E438="""","""",ROUND(XLOOKUP(E438, FLATTEN(B$1:E437), FLATTEN(O$1:R437), 500, 0, -1)))"),"")</f>
        <v/>
      </c>
      <c r="K438" s="9" t="str">
        <f t="shared" si="2"/>
        <v/>
      </c>
      <c r="L438" s="9" t="str">
        <f t="shared" si="3"/>
        <v/>
      </c>
      <c r="M438" s="32" t="str">
        <f t="shared" si="4"/>
        <v/>
      </c>
      <c r="N438" s="9" t="str">
        <f t="shared" si="5"/>
        <v/>
      </c>
      <c r="O438" s="9" t="str">
        <f t="shared" si="6"/>
        <v/>
      </c>
      <c r="P438" s="9" t="str">
        <f t="shared" si="7"/>
        <v/>
      </c>
      <c r="Q438" s="9" t="str">
        <f t="shared" si="8"/>
        <v/>
      </c>
      <c r="R438" s="9" t="str">
        <f t="shared" si="9"/>
        <v/>
      </c>
    </row>
    <row r="439">
      <c r="A439" s="1" t="str">
        <f t="shared" si="1"/>
        <v/>
      </c>
      <c r="G439" s="9" t="str">
        <f>IFERROR(__xludf.DUMMYFUNCTION("IF(B439="""","""",ROUND(XLOOKUP(B439, FLATTEN(B$1:E438), FLATTEN(O$1:R438), 500, 0, -1)))"),"")</f>
        <v/>
      </c>
      <c r="H439" s="9" t="str">
        <f>IFERROR(__xludf.DUMMYFUNCTION("IF(C439="""","""",ROUND(XLOOKUP(C439, FLATTEN(B$1:E438), FLATTEN(O$1:R438), 500, 0, -1)))"),"")</f>
        <v/>
      </c>
      <c r="I439" s="9" t="str">
        <f>IFERROR(__xludf.DUMMYFUNCTION("IF(D439="""","""",ROUND(XLOOKUP(D439, FLATTEN(B$1:E438), FLATTEN(O$1:R438), 500, 0, -1)))"),"")</f>
        <v/>
      </c>
      <c r="J439" s="9" t="str">
        <f>IFERROR(__xludf.DUMMYFUNCTION("IF(E439="""","""",ROUND(XLOOKUP(E439, FLATTEN(B$1:E438), FLATTEN(O$1:R438), 500, 0, -1)))"),"")</f>
        <v/>
      </c>
      <c r="K439" s="9" t="str">
        <f t="shared" si="2"/>
        <v/>
      </c>
      <c r="L439" s="9" t="str">
        <f t="shared" si="3"/>
        <v/>
      </c>
      <c r="M439" s="32" t="str">
        <f t="shared" si="4"/>
        <v/>
      </c>
      <c r="N439" s="9" t="str">
        <f t="shared" si="5"/>
        <v/>
      </c>
      <c r="O439" s="9" t="str">
        <f t="shared" si="6"/>
        <v/>
      </c>
      <c r="P439" s="9" t="str">
        <f t="shared" si="7"/>
        <v/>
      </c>
      <c r="Q439" s="9" t="str">
        <f t="shared" si="8"/>
        <v/>
      </c>
      <c r="R439" s="9" t="str">
        <f t="shared" si="9"/>
        <v/>
      </c>
    </row>
    <row r="440">
      <c r="A440" s="1" t="str">
        <f t="shared" si="1"/>
        <v/>
      </c>
      <c r="G440" s="9" t="str">
        <f>IFERROR(__xludf.DUMMYFUNCTION("IF(B440="""","""",ROUND(XLOOKUP(B440, FLATTEN(B$1:E439), FLATTEN(O$1:R439), 500, 0, -1)))"),"")</f>
        <v/>
      </c>
      <c r="H440" s="9" t="str">
        <f>IFERROR(__xludf.DUMMYFUNCTION("IF(C440="""","""",ROUND(XLOOKUP(C440, FLATTEN(B$1:E439), FLATTEN(O$1:R439), 500, 0, -1)))"),"")</f>
        <v/>
      </c>
      <c r="I440" s="9" t="str">
        <f>IFERROR(__xludf.DUMMYFUNCTION("IF(D440="""","""",ROUND(XLOOKUP(D440, FLATTEN(B$1:E439), FLATTEN(O$1:R439), 500, 0, -1)))"),"")</f>
        <v/>
      </c>
      <c r="J440" s="9" t="str">
        <f>IFERROR(__xludf.DUMMYFUNCTION("IF(E440="""","""",ROUND(XLOOKUP(E440, FLATTEN(B$1:E439), FLATTEN(O$1:R439), 500, 0, -1)))"),"")</f>
        <v/>
      </c>
      <c r="K440" s="9" t="str">
        <f t="shared" si="2"/>
        <v/>
      </c>
      <c r="L440" s="9" t="str">
        <f t="shared" si="3"/>
        <v/>
      </c>
      <c r="M440" s="32" t="str">
        <f t="shared" si="4"/>
        <v/>
      </c>
      <c r="N440" s="9" t="str">
        <f t="shared" si="5"/>
        <v/>
      </c>
      <c r="O440" s="9" t="str">
        <f t="shared" si="6"/>
        <v/>
      </c>
      <c r="P440" s="9" t="str">
        <f t="shared" si="7"/>
        <v/>
      </c>
      <c r="Q440" s="9" t="str">
        <f t="shared" si="8"/>
        <v/>
      </c>
      <c r="R440" s="9" t="str">
        <f t="shared" si="9"/>
        <v/>
      </c>
    </row>
    <row r="441">
      <c r="A441" s="1" t="str">
        <f t="shared" si="1"/>
        <v/>
      </c>
      <c r="G441" s="9" t="str">
        <f>IFERROR(__xludf.DUMMYFUNCTION("IF(B441="""","""",ROUND(XLOOKUP(B441, FLATTEN(B$1:E440), FLATTEN(O$1:R440), 500, 0, -1)))"),"")</f>
        <v/>
      </c>
      <c r="H441" s="9" t="str">
        <f>IFERROR(__xludf.DUMMYFUNCTION("IF(C441="""","""",ROUND(XLOOKUP(C441, FLATTEN(B$1:E440), FLATTEN(O$1:R440), 500, 0, -1)))"),"")</f>
        <v/>
      </c>
      <c r="I441" s="9" t="str">
        <f>IFERROR(__xludf.DUMMYFUNCTION("IF(D441="""","""",ROUND(XLOOKUP(D441, FLATTEN(B$1:E440), FLATTEN(O$1:R440), 500, 0, -1)))"),"")</f>
        <v/>
      </c>
      <c r="J441" s="9" t="str">
        <f>IFERROR(__xludf.DUMMYFUNCTION("IF(E441="""","""",ROUND(XLOOKUP(E441, FLATTEN(B$1:E440), FLATTEN(O$1:R440), 500, 0, -1)))"),"")</f>
        <v/>
      </c>
      <c r="K441" s="9" t="str">
        <f t="shared" si="2"/>
        <v/>
      </c>
      <c r="L441" s="9" t="str">
        <f t="shared" si="3"/>
        <v/>
      </c>
      <c r="M441" s="32" t="str">
        <f t="shared" si="4"/>
        <v/>
      </c>
      <c r="N441" s="9" t="str">
        <f t="shared" si="5"/>
        <v/>
      </c>
      <c r="O441" s="9" t="str">
        <f t="shared" si="6"/>
        <v/>
      </c>
      <c r="P441" s="9" t="str">
        <f t="shared" si="7"/>
        <v/>
      </c>
      <c r="Q441" s="9" t="str">
        <f t="shared" si="8"/>
        <v/>
      </c>
      <c r="R441" s="9" t="str">
        <f t="shared" si="9"/>
        <v/>
      </c>
    </row>
    <row r="442">
      <c r="A442" s="1" t="str">
        <f t="shared" si="1"/>
        <v/>
      </c>
      <c r="G442" s="9" t="str">
        <f>IFERROR(__xludf.DUMMYFUNCTION("IF(B442="""","""",ROUND(XLOOKUP(B442, FLATTEN(B$1:E441), FLATTEN(O$1:R441), 500, 0, -1)))"),"")</f>
        <v/>
      </c>
      <c r="H442" s="9" t="str">
        <f>IFERROR(__xludf.DUMMYFUNCTION("IF(C442="""","""",ROUND(XLOOKUP(C442, FLATTEN(B$1:E441), FLATTEN(O$1:R441), 500, 0, -1)))"),"")</f>
        <v/>
      </c>
      <c r="I442" s="9" t="str">
        <f>IFERROR(__xludf.DUMMYFUNCTION("IF(D442="""","""",ROUND(XLOOKUP(D442, FLATTEN(B$1:E441), FLATTEN(O$1:R441), 500, 0, -1)))"),"")</f>
        <v/>
      </c>
      <c r="J442" s="9" t="str">
        <f>IFERROR(__xludf.DUMMYFUNCTION("IF(E442="""","""",ROUND(XLOOKUP(E442, FLATTEN(B$1:E441), FLATTEN(O$1:R441), 500, 0, -1)))"),"")</f>
        <v/>
      </c>
      <c r="K442" s="9" t="str">
        <f t="shared" si="2"/>
        <v/>
      </c>
      <c r="L442" s="9" t="str">
        <f t="shared" si="3"/>
        <v/>
      </c>
      <c r="M442" s="32" t="str">
        <f t="shared" si="4"/>
        <v/>
      </c>
      <c r="N442" s="9" t="str">
        <f t="shared" si="5"/>
        <v/>
      </c>
      <c r="O442" s="9" t="str">
        <f t="shared" si="6"/>
        <v/>
      </c>
      <c r="P442" s="9" t="str">
        <f t="shared" si="7"/>
        <v/>
      </c>
      <c r="Q442" s="9" t="str">
        <f t="shared" si="8"/>
        <v/>
      </c>
      <c r="R442" s="9" t="str">
        <f t="shared" si="9"/>
        <v/>
      </c>
    </row>
    <row r="443">
      <c r="A443" s="1" t="str">
        <f t="shared" si="1"/>
        <v/>
      </c>
      <c r="G443" s="9" t="str">
        <f>IFERROR(__xludf.DUMMYFUNCTION("IF(B443="""","""",ROUND(XLOOKUP(B443, FLATTEN(B$1:E442), FLATTEN(O$1:R442), 500, 0, -1)))"),"")</f>
        <v/>
      </c>
      <c r="H443" s="9" t="str">
        <f>IFERROR(__xludf.DUMMYFUNCTION("IF(C443="""","""",ROUND(XLOOKUP(C443, FLATTEN(B$1:E442), FLATTEN(O$1:R442), 500, 0, -1)))"),"")</f>
        <v/>
      </c>
      <c r="I443" s="9" t="str">
        <f>IFERROR(__xludf.DUMMYFUNCTION("IF(D443="""","""",ROUND(XLOOKUP(D443, FLATTEN(B$1:E442), FLATTEN(O$1:R442), 500, 0, -1)))"),"")</f>
        <v/>
      </c>
      <c r="J443" s="9" t="str">
        <f>IFERROR(__xludf.DUMMYFUNCTION("IF(E443="""","""",ROUND(XLOOKUP(E443, FLATTEN(B$1:E442), FLATTEN(O$1:R442), 500, 0, -1)))"),"")</f>
        <v/>
      </c>
      <c r="K443" s="9" t="str">
        <f t="shared" si="2"/>
        <v/>
      </c>
      <c r="L443" s="9" t="str">
        <f t="shared" si="3"/>
        <v/>
      </c>
      <c r="M443" s="32" t="str">
        <f t="shared" si="4"/>
        <v/>
      </c>
      <c r="N443" s="9" t="str">
        <f t="shared" si="5"/>
        <v/>
      </c>
      <c r="O443" s="9" t="str">
        <f t="shared" si="6"/>
        <v/>
      </c>
      <c r="P443" s="9" t="str">
        <f t="shared" si="7"/>
        <v/>
      </c>
      <c r="Q443" s="9" t="str">
        <f t="shared" si="8"/>
        <v/>
      </c>
      <c r="R443" s="9" t="str">
        <f t="shared" si="9"/>
        <v/>
      </c>
    </row>
    <row r="444">
      <c r="A444" s="1" t="str">
        <f t="shared" si="1"/>
        <v/>
      </c>
      <c r="G444" s="9" t="str">
        <f>IFERROR(__xludf.DUMMYFUNCTION("IF(B444="""","""",ROUND(XLOOKUP(B444, FLATTEN(B$1:E443), FLATTEN(O$1:R443), 500, 0, -1)))"),"")</f>
        <v/>
      </c>
      <c r="H444" s="9" t="str">
        <f>IFERROR(__xludf.DUMMYFUNCTION("IF(C444="""","""",ROUND(XLOOKUP(C444, FLATTEN(B$1:E443), FLATTEN(O$1:R443), 500, 0, -1)))"),"")</f>
        <v/>
      </c>
      <c r="I444" s="9" t="str">
        <f>IFERROR(__xludf.DUMMYFUNCTION("IF(D444="""","""",ROUND(XLOOKUP(D444, FLATTEN(B$1:E443), FLATTEN(O$1:R443), 500, 0, -1)))"),"")</f>
        <v/>
      </c>
      <c r="J444" s="9" t="str">
        <f>IFERROR(__xludf.DUMMYFUNCTION("IF(E444="""","""",ROUND(XLOOKUP(E444, FLATTEN(B$1:E443), FLATTEN(O$1:R443), 500, 0, -1)))"),"")</f>
        <v/>
      </c>
      <c r="K444" s="9" t="str">
        <f t="shared" si="2"/>
        <v/>
      </c>
      <c r="L444" s="9" t="str">
        <f t="shared" si="3"/>
        <v/>
      </c>
      <c r="M444" s="32" t="str">
        <f t="shared" si="4"/>
        <v/>
      </c>
      <c r="N444" s="9" t="str">
        <f t="shared" si="5"/>
        <v/>
      </c>
      <c r="O444" s="9" t="str">
        <f t="shared" si="6"/>
        <v/>
      </c>
      <c r="P444" s="9" t="str">
        <f t="shared" si="7"/>
        <v/>
      </c>
      <c r="Q444" s="9" t="str">
        <f t="shared" si="8"/>
        <v/>
      </c>
      <c r="R444" s="9" t="str">
        <f t="shared" si="9"/>
        <v/>
      </c>
    </row>
    <row r="445">
      <c r="A445" s="1" t="str">
        <f t="shared" si="1"/>
        <v/>
      </c>
      <c r="G445" s="9" t="str">
        <f>IFERROR(__xludf.DUMMYFUNCTION("IF(B445="""","""",ROUND(XLOOKUP(B445, FLATTEN(B$1:E444), FLATTEN(O$1:R444), 500, 0, -1)))"),"")</f>
        <v/>
      </c>
      <c r="H445" s="9" t="str">
        <f>IFERROR(__xludf.DUMMYFUNCTION("IF(C445="""","""",ROUND(XLOOKUP(C445, FLATTEN(B$1:E444), FLATTEN(O$1:R444), 500, 0, -1)))"),"")</f>
        <v/>
      </c>
      <c r="I445" s="9" t="str">
        <f>IFERROR(__xludf.DUMMYFUNCTION("IF(D445="""","""",ROUND(XLOOKUP(D445, FLATTEN(B$1:E444), FLATTEN(O$1:R444), 500, 0, -1)))"),"")</f>
        <v/>
      </c>
      <c r="J445" s="9" t="str">
        <f>IFERROR(__xludf.DUMMYFUNCTION("IF(E445="""","""",ROUND(XLOOKUP(E445, FLATTEN(B$1:E444), FLATTEN(O$1:R444), 500, 0, -1)))"),"")</f>
        <v/>
      </c>
      <c r="K445" s="9" t="str">
        <f t="shared" si="2"/>
        <v/>
      </c>
      <c r="L445" s="9" t="str">
        <f t="shared" si="3"/>
        <v/>
      </c>
      <c r="M445" s="32" t="str">
        <f t="shared" si="4"/>
        <v/>
      </c>
      <c r="N445" s="9" t="str">
        <f t="shared" si="5"/>
        <v/>
      </c>
      <c r="O445" s="9" t="str">
        <f t="shared" si="6"/>
        <v/>
      </c>
      <c r="P445" s="9" t="str">
        <f t="shared" si="7"/>
        <v/>
      </c>
      <c r="Q445" s="9" t="str">
        <f t="shared" si="8"/>
        <v/>
      </c>
      <c r="R445" s="9" t="str">
        <f t="shared" si="9"/>
        <v/>
      </c>
    </row>
    <row r="446">
      <c r="A446" s="1" t="str">
        <f t="shared" si="1"/>
        <v/>
      </c>
      <c r="G446" s="9" t="str">
        <f>IFERROR(__xludf.DUMMYFUNCTION("IF(B446="""","""",ROUND(XLOOKUP(B446, FLATTEN(B$1:E445), FLATTEN(O$1:R445), 500, 0, -1)))"),"")</f>
        <v/>
      </c>
      <c r="H446" s="9" t="str">
        <f>IFERROR(__xludf.DUMMYFUNCTION("IF(C446="""","""",ROUND(XLOOKUP(C446, FLATTEN(B$1:E445), FLATTEN(O$1:R445), 500, 0, -1)))"),"")</f>
        <v/>
      </c>
      <c r="I446" s="9" t="str">
        <f>IFERROR(__xludf.DUMMYFUNCTION("IF(D446="""","""",ROUND(XLOOKUP(D446, FLATTEN(B$1:E445), FLATTEN(O$1:R445), 500, 0, -1)))"),"")</f>
        <v/>
      </c>
      <c r="J446" s="9" t="str">
        <f>IFERROR(__xludf.DUMMYFUNCTION("IF(E446="""","""",ROUND(XLOOKUP(E446, FLATTEN(B$1:E445), FLATTEN(O$1:R445), 500, 0, -1)))"),"")</f>
        <v/>
      </c>
      <c r="K446" s="9" t="str">
        <f t="shared" si="2"/>
        <v/>
      </c>
      <c r="L446" s="9" t="str">
        <f t="shared" si="3"/>
        <v/>
      </c>
      <c r="M446" s="32" t="str">
        <f t="shared" si="4"/>
        <v/>
      </c>
      <c r="N446" s="9" t="str">
        <f t="shared" si="5"/>
        <v/>
      </c>
      <c r="O446" s="9" t="str">
        <f t="shared" si="6"/>
        <v/>
      </c>
      <c r="P446" s="9" t="str">
        <f t="shared" si="7"/>
        <v/>
      </c>
      <c r="Q446" s="9" t="str">
        <f t="shared" si="8"/>
        <v/>
      </c>
      <c r="R446" s="9" t="str">
        <f t="shared" si="9"/>
        <v/>
      </c>
    </row>
    <row r="447">
      <c r="A447" s="1" t="str">
        <f t="shared" si="1"/>
        <v/>
      </c>
      <c r="G447" s="9" t="str">
        <f>IFERROR(__xludf.DUMMYFUNCTION("IF(B447="""","""",ROUND(XLOOKUP(B447, FLATTEN(B$1:E446), FLATTEN(O$1:R446), 500, 0, -1)))"),"")</f>
        <v/>
      </c>
      <c r="H447" s="9" t="str">
        <f>IFERROR(__xludf.DUMMYFUNCTION("IF(C447="""","""",ROUND(XLOOKUP(C447, FLATTEN(B$1:E446), FLATTEN(O$1:R446), 500, 0, -1)))"),"")</f>
        <v/>
      </c>
      <c r="I447" s="9" t="str">
        <f>IFERROR(__xludf.DUMMYFUNCTION("IF(D447="""","""",ROUND(XLOOKUP(D447, FLATTEN(B$1:E446), FLATTEN(O$1:R446), 500, 0, -1)))"),"")</f>
        <v/>
      </c>
      <c r="J447" s="9" t="str">
        <f>IFERROR(__xludf.DUMMYFUNCTION("IF(E447="""","""",ROUND(XLOOKUP(E447, FLATTEN(B$1:E446), FLATTEN(O$1:R446), 500, 0, -1)))"),"")</f>
        <v/>
      </c>
      <c r="K447" s="9" t="str">
        <f t="shared" si="2"/>
        <v/>
      </c>
      <c r="L447" s="9" t="str">
        <f t="shared" si="3"/>
        <v/>
      </c>
      <c r="M447" s="32" t="str">
        <f t="shared" si="4"/>
        <v/>
      </c>
      <c r="N447" s="9" t="str">
        <f t="shared" si="5"/>
        <v/>
      </c>
      <c r="O447" s="9" t="str">
        <f t="shared" si="6"/>
        <v/>
      </c>
      <c r="P447" s="9" t="str">
        <f t="shared" si="7"/>
        <v/>
      </c>
      <c r="Q447" s="9" t="str">
        <f t="shared" si="8"/>
        <v/>
      </c>
      <c r="R447" s="9" t="str">
        <f t="shared" si="9"/>
        <v/>
      </c>
    </row>
    <row r="448">
      <c r="A448" s="1" t="str">
        <f t="shared" si="1"/>
        <v/>
      </c>
      <c r="G448" s="9" t="str">
        <f>IFERROR(__xludf.DUMMYFUNCTION("IF(B448="""","""",ROUND(XLOOKUP(B448, FLATTEN(B$1:E447), FLATTEN(O$1:R447), 500, 0, -1)))"),"")</f>
        <v/>
      </c>
      <c r="H448" s="9" t="str">
        <f>IFERROR(__xludf.DUMMYFUNCTION("IF(C448="""","""",ROUND(XLOOKUP(C448, FLATTEN(B$1:E447), FLATTEN(O$1:R447), 500, 0, -1)))"),"")</f>
        <v/>
      </c>
      <c r="I448" s="9" t="str">
        <f>IFERROR(__xludf.DUMMYFUNCTION("IF(D448="""","""",ROUND(XLOOKUP(D448, FLATTEN(B$1:E447), FLATTEN(O$1:R447), 500, 0, -1)))"),"")</f>
        <v/>
      </c>
      <c r="J448" s="9" t="str">
        <f>IFERROR(__xludf.DUMMYFUNCTION("IF(E448="""","""",ROUND(XLOOKUP(E448, FLATTEN(B$1:E447), FLATTEN(O$1:R447), 500, 0, -1)))"),"")</f>
        <v/>
      </c>
      <c r="K448" s="9" t="str">
        <f t="shared" si="2"/>
        <v/>
      </c>
      <c r="L448" s="9" t="str">
        <f t="shared" si="3"/>
        <v/>
      </c>
      <c r="M448" s="32" t="str">
        <f t="shared" si="4"/>
        <v/>
      </c>
      <c r="N448" s="9" t="str">
        <f t="shared" si="5"/>
        <v/>
      </c>
      <c r="O448" s="9" t="str">
        <f t="shared" si="6"/>
        <v/>
      </c>
      <c r="P448" s="9" t="str">
        <f t="shared" si="7"/>
        <v/>
      </c>
      <c r="Q448" s="9" t="str">
        <f t="shared" si="8"/>
        <v/>
      </c>
      <c r="R448" s="9" t="str">
        <f t="shared" si="9"/>
        <v/>
      </c>
    </row>
    <row r="449">
      <c r="A449" s="1" t="str">
        <f t="shared" si="1"/>
        <v/>
      </c>
      <c r="G449" s="9" t="str">
        <f>IFERROR(__xludf.DUMMYFUNCTION("IF(B449="""","""",ROUND(XLOOKUP(B449, FLATTEN(B$1:E448), FLATTEN(O$1:R448), 500, 0, -1)))"),"")</f>
        <v/>
      </c>
      <c r="H449" s="9" t="str">
        <f>IFERROR(__xludf.DUMMYFUNCTION("IF(C449="""","""",ROUND(XLOOKUP(C449, FLATTEN(B$1:E448), FLATTEN(O$1:R448), 500, 0, -1)))"),"")</f>
        <v/>
      </c>
      <c r="I449" s="9" t="str">
        <f>IFERROR(__xludf.DUMMYFUNCTION("IF(D449="""","""",ROUND(XLOOKUP(D449, FLATTEN(B$1:E448), FLATTEN(O$1:R448), 500, 0, -1)))"),"")</f>
        <v/>
      </c>
      <c r="J449" s="9" t="str">
        <f>IFERROR(__xludf.DUMMYFUNCTION("IF(E449="""","""",ROUND(XLOOKUP(E449, FLATTEN(B$1:E448), FLATTEN(O$1:R448), 500, 0, -1)))"),"")</f>
        <v/>
      </c>
      <c r="K449" s="9" t="str">
        <f t="shared" si="2"/>
        <v/>
      </c>
      <c r="L449" s="9" t="str">
        <f t="shared" si="3"/>
        <v/>
      </c>
      <c r="M449" s="32" t="str">
        <f t="shared" si="4"/>
        <v/>
      </c>
      <c r="N449" s="9" t="str">
        <f t="shared" si="5"/>
        <v/>
      </c>
      <c r="O449" s="9" t="str">
        <f t="shared" si="6"/>
        <v/>
      </c>
      <c r="P449" s="9" t="str">
        <f t="shared" si="7"/>
        <v/>
      </c>
      <c r="Q449" s="9" t="str">
        <f t="shared" si="8"/>
        <v/>
      </c>
      <c r="R449" s="9" t="str">
        <f t="shared" si="9"/>
        <v/>
      </c>
    </row>
    <row r="450">
      <c r="A450" s="1" t="str">
        <f t="shared" si="1"/>
        <v/>
      </c>
      <c r="G450" s="9" t="str">
        <f>IFERROR(__xludf.DUMMYFUNCTION("IF(B450="""","""",ROUND(XLOOKUP(B450, FLATTEN(B$1:E449), FLATTEN(O$1:R449), 500, 0, -1)))"),"")</f>
        <v/>
      </c>
      <c r="H450" s="9" t="str">
        <f>IFERROR(__xludf.DUMMYFUNCTION("IF(C450="""","""",ROUND(XLOOKUP(C450, FLATTEN(B$1:E449), FLATTEN(O$1:R449), 500, 0, -1)))"),"")</f>
        <v/>
      </c>
      <c r="I450" s="9" t="str">
        <f>IFERROR(__xludf.DUMMYFUNCTION("IF(D450="""","""",ROUND(XLOOKUP(D450, FLATTEN(B$1:E449), FLATTEN(O$1:R449), 500, 0, -1)))"),"")</f>
        <v/>
      </c>
      <c r="J450" s="9" t="str">
        <f>IFERROR(__xludf.DUMMYFUNCTION("IF(E450="""","""",ROUND(XLOOKUP(E450, FLATTEN(B$1:E449), FLATTEN(O$1:R449), 500, 0, -1)))"),"")</f>
        <v/>
      </c>
      <c r="K450" s="9" t="str">
        <f t="shared" si="2"/>
        <v/>
      </c>
      <c r="L450" s="9" t="str">
        <f t="shared" si="3"/>
        <v/>
      </c>
      <c r="M450" s="32" t="str">
        <f t="shared" si="4"/>
        <v/>
      </c>
      <c r="N450" s="9" t="str">
        <f t="shared" si="5"/>
        <v/>
      </c>
      <c r="O450" s="9" t="str">
        <f t="shared" si="6"/>
        <v/>
      </c>
      <c r="P450" s="9" t="str">
        <f t="shared" si="7"/>
        <v/>
      </c>
      <c r="Q450" s="9" t="str">
        <f t="shared" si="8"/>
        <v/>
      </c>
      <c r="R450" s="9" t="str">
        <f t="shared" si="9"/>
        <v/>
      </c>
    </row>
    <row r="451">
      <c r="A451" s="1" t="str">
        <f t="shared" si="1"/>
        <v/>
      </c>
      <c r="G451" s="9" t="str">
        <f>IFERROR(__xludf.DUMMYFUNCTION("IF(B451="""","""",ROUND(XLOOKUP(B451, FLATTEN(B$1:E450), FLATTEN(O$1:R450), 500, 0, -1)))"),"")</f>
        <v/>
      </c>
      <c r="H451" s="9" t="str">
        <f>IFERROR(__xludf.DUMMYFUNCTION("IF(C451="""","""",ROUND(XLOOKUP(C451, FLATTEN(B$1:E450), FLATTEN(O$1:R450), 500, 0, -1)))"),"")</f>
        <v/>
      </c>
      <c r="I451" s="9" t="str">
        <f>IFERROR(__xludf.DUMMYFUNCTION("IF(D451="""","""",ROUND(XLOOKUP(D451, FLATTEN(B$1:E450), FLATTEN(O$1:R450), 500, 0, -1)))"),"")</f>
        <v/>
      </c>
      <c r="J451" s="9" t="str">
        <f>IFERROR(__xludf.DUMMYFUNCTION("IF(E451="""","""",ROUND(XLOOKUP(E451, FLATTEN(B$1:E450), FLATTEN(O$1:R450), 500, 0, -1)))"),"")</f>
        <v/>
      </c>
      <c r="K451" s="9" t="str">
        <f t="shared" si="2"/>
        <v/>
      </c>
      <c r="L451" s="9" t="str">
        <f t="shared" si="3"/>
        <v/>
      </c>
      <c r="M451" s="32" t="str">
        <f t="shared" si="4"/>
        <v/>
      </c>
      <c r="N451" s="9" t="str">
        <f t="shared" si="5"/>
        <v/>
      </c>
      <c r="O451" s="9" t="str">
        <f t="shared" si="6"/>
        <v/>
      </c>
      <c r="P451" s="9" t="str">
        <f t="shared" si="7"/>
        <v/>
      </c>
      <c r="Q451" s="9" t="str">
        <f t="shared" si="8"/>
        <v/>
      </c>
      <c r="R451" s="9" t="str">
        <f t="shared" si="9"/>
        <v/>
      </c>
    </row>
    <row r="452">
      <c r="A452" s="1" t="str">
        <f t="shared" si="1"/>
        <v/>
      </c>
      <c r="G452" s="9" t="str">
        <f>IFERROR(__xludf.DUMMYFUNCTION("IF(B452="""","""",ROUND(XLOOKUP(B452, FLATTEN(B$1:E451), FLATTEN(O$1:R451), 500, 0, -1)))"),"")</f>
        <v/>
      </c>
      <c r="H452" s="9" t="str">
        <f>IFERROR(__xludf.DUMMYFUNCTION("IF(C452="""","""",ROUND(XLOOKUP(C452, FLATTEN(B$1:E451), FLATTEN(O$1:R451), 500, 0, -1)))"),"")</f>
        <v/>
      </c>
      <c r="I452" s="9" t="str">
        <f>IFERROR(__xludf.DUMMYFUNCTION("IF(D452="""","""",ROUND(XLOOKUP(D452, FLATTEN(B$1:E451), FLATTEN(O$1:R451), 500, 0, -1)))"),"")</f>
        <v/>
      </c>
      <c r="J452" s="9" t="str">
        <f>IFERROR(__xludf.DUMMYFUNCTION("IF(E452="""","""",ROUND(XLOOKUP(E452, FLATTEN(B$1:E451), FLATTEN(O$1:R451), 500, 0, -1)))"),"")</f>
        <v/>
      </c>
      <c r="K452" s="9" t="str">
        <f t="shared" si="2"/>
        <v/>
      </c>
      <c r="L452" s="9" t="str">
        <f t="shared" si="3"/>
        <v/>
      </c>
      <c r="M452" s="32" t="str">
        <f t="shared" si="4"/>
        <v/>
      </c>
      <c r="N452" s="9" t="str">
        <f t="shared" si="5"/>
        <v/>
      </c>
      <c r="O452" s="9" t="str">
        <f t="shared" si="6"/>
        <v/>
      </c>
      <c r="P452" s="9" t="str">
        <f t="shared" si="7"/>
        <v/>
      </c>
      <c r="Q452" s="9" t="str">
        <f t="shared" si="8"/>
        <v/>
      </c>
      <c r="R452" s="9" t="str">
        <f t="shared" si="9"/>
        <v/>
      </c>
    </row>
    <row r="453">
      <c r="A453" s="1" t="str">
        <f t="shared" si="1"/>
        <v/>
      </c>
      <c r="G453" s="9" t="str">
        <f>IFERROR(__xludf.DUMMYFUNCTION("IF(B453="""","""",ROUND(XLOOKUP(B453, FLATTEN(B$1:E452), FLATTEN(O$1:R452), 500, 0, -1)))"),"")</f>
        <v/>
      </c>
      <c r="H453" s="9" t="str">
        <f>IFERROR(__xludf.DUMMYFUNCTION("IF(C453="""","""",ROUND(XLOOKUP(C453, FLATTEN(B$1:E452), FLATTEN(O$1:R452), 500, 0, -1)))"),"")</f>
        <v/>
      </c>
      <c r="I453" s="9" t="str">
        <f>IFERROR(__xludf.DUMMYFUNCTION("IF(D453="""","""",ROUND(XLOOKUP(D453, FLATTEN(B$1:E452), FLATTEN(O$1:R452), 500, 0, -1)))"),"")</f>
        <v/>
      </c>
      <c r="J453" s="9" t="str">
        <f>IFERROR(__xludf.DUMMYFUNCTION("IF(E453="""","""",ROUND(XLOOKUP(E453, FLATTEN(B$1:E452), FLATTEN(O$1:R452), 500, 0, -1)))"),"")</f>
        <v/>
      </c>
      <c r="K453" s="9" t="str">
        <f t="shared" si="2"/>
        <v/>
      </c>
      <c r="L453" s="9" t="str">
        <f t="shared" si="3"/>
        <v/>
      </c>
      <c r="M453" s="32" t="str">
        <f t="shared" si="4"/>
        <v/>
      </c>
      <c r="N453" s="9" t="str">
        <f t="shared" si="5"/>
        <v/>
      </c>
      <c r="O453" s="9" t="str">
        <f t="shared" si="6"/>
        <v/>
      </c>
      <c r="P453" s="9" t="str">
        <f t="shared" si="7"/>
        <v/>
      </c>
      <c r="Q453" s="9" t="str">
        <f t="shared" si="8"/>
        <v/>
      </c>
      <c r="R453" s="9" t="str">
        <f t="shared" si="9"/>
        <v/>
      </c>
    </row>
    <row r="454">
      <c r="A454" s="1" t="str">
        <f t="shared" si="1"/>
        <v/>
      </c>
      <c r="G454" s="9" t="str">
        <f>IFERROR(__xludf.DUMMYFUNCTION("IF(B454="""","""",ROUND(XLOOKUP(B454, FLATTEN(B$1:E453), FLATTEN(O$1:R453), 500, 0, -1)))"),"")</f>
        <v/>
      </c>
      <c r="H454" s="9" t="str">
        <f>IFERROR(__xludf.DUMMYFUNCTION("IF(C454="""","""",ROUND(XLOOKUP(C454, FLATTEN(B$1:E453), FLATTEN(O$1:R453), 500, 0, -1)))"),"")</f>
        <v/>
      </c>
      <c r="I454" s="9" t="str">
        <f>IFERROR(__xludf.DUMMYFUNCTION("IF(D454="""","""",ROUND(XLOOKUP(D454, FLATTEN(B$1:E453), FLATTEN(O$1:R453), 500, 0, -1)))"),"")</f>
        <v/>
      </c>
      <c r="J454" s="9" t="str">
        <f>IFERROR(__xludf.DUMMYFUNCTION("IF(E454="""","""",ROUND(XLOOKUP(E454, FLATTEN(B$1:E453), FLATTEN(O$1:R453), 500, 0, -1)))"),"")</f>
        <v/>
      </c>
      <c r="K454" s="9" t="str">
        <f t="shared" si="2"/>
        <v/>
      </c>
      <c r="L454" s="9" t="str">
        <f t="shared" si="3"/>
        <v/>
      </c>
      <c r="M454" s="32" t="str">
        <f t="shared" si="4"/>
        <v/>
      </c>
      <c r="N454" s="9" t="str">
        <f t="shared" si="5"/>
        <v/>
      </c>
      <c r="O454" s="9" t="str">
        <f t="shared" si="6"/>
        <v/>
      </c>
      <c r="P454" s="9" t="str">
        <f t="shared" si="7"/>
        <v/>
      </c>
      <c r="Q454" s="9" t="str">
        <f t="shared" si="8"/>
        <v/>
      </c>
      <c r="R454" s="9" t="str">
        <f t="shared" si="9"/>
        <v/>
      </c>
    </row>
    <row r="455">
      <c r="A455" s="1" t="str">
        <f t="shared" si="1"/>
        <v/>
      </c>
      <c r="G455" s="9" t="str">
        <f>IFERROR(__xludf.DUMMYFUNCTION("IF(B455="""","""",ROUND(XLOOKUP(B455, FLATTEN(B$1:E454), FLATTEN(O$1:R454), 500, 0, -1)))"),"")</f>
        <v/>
      </c>
      <c r="H455" s="9" t="str">
        <f>IFERROR(__xludf.DUMMYFUNCTION("IF(C455="""","""",ROUND(XLOOKUP(C455, FLATTEN(B$1:E454), FLATTEN(O$1:R454), 500, 0, -1)))"),"")</f>
        <v/>
      </c>
      <c r="I455" s="9" t="str">
        <f>IFERROR(__xludf.DUMMYFUNCTION("IF(D455="""","""",ROUND(XLOOKUP(D455, FLATTEN(B$1:E454), FLATTEN(O$1:R454), 500, 0, -1)))"),"")</f>
        <v/>
      </c>
      <c r="J455" s="9" t="str">
        <f>IFERROR(__xludf.DUMMYFUNCTION("IF(E455="""","""",ROUND(XLOOKUP(E455, FLATTEN(B$1:E454), FLATTEN(O$1:R454), 500, 0, -1)))"),"")</f>
        <v/>
      </c>
      <c r="K455" s="9" t="str">
        <f t="shared" si="2"/>
        <v/>
      </c>
      <c r="L455" s="9" t="str">
        <f t="shared" si="3"/>
        <v/>
      </c>
      <c r="M455" s="32" t="str">
        <f t="shared" si="4"/>
        <v/>
      </c>
      <c r="N455" s="9" t="str">
        <f t="shared" si="5"/>
        <v/>
      </c>
      <c r="O455" s="9" t="str">
        <f t="shared" si="6"/>
        <v/>
      </c>
      <c r="P455" s="9" t="str">
        <f t="shared" si="7"/>
        <v/>
      </c>
      <c r="Q455" s="9" t="str">
        <f t="shared" si="8"/>
        <v/>
      </c>
      <c r="R455" s="9" t="str">
        <f t="shared" si="9"/>
        <v/>
      </c>
    </row>
    <row r="456">
      <c r="A456" s="1" t="str">
        <f t="shared" si="1"/>
        <v/>
      </c>
      <c r="G456" s="9" t="str">
        <f>IFERROR(__xludf.DUMMYFUNCTION("IF(B456="""","""",ROUND(XLOOKUP(B456, FLATTEN(B$1:E455), FLATTEN(O$1:R455), 500, 0, -1)))"),"")</f>
        <v/>
      </c>
      <c r="H456" s="9" t="str">
        <f>IFERROR(__xludf.DUMMYFUNCTION("IF(C456="""","""",ROUND(XLOOKUP(C456, FLATTEN(B$1:E455), FLATTEN(O$1:R455), 500, 0, -1)))"),"")</f>
        <v/>
      </c>
      <c r="I456" s="9" t="str">
        <f>IFERROR(__xludf.DUMMYFUNCTION("IF(D456="""","""",ROUND(XLOOKUP(D456, FLATTEN(B$1:E455), FLATTEN(O$1:R455), 500, 0, -1)))"),"")</f>
        <v/>
      </c>
      <c r="J456" s="9" t="str">
        <f>IFERROR(__xludf.DUMMYFUNCTION("IF(E456="""","""",ROUND(XLOOKUP(E456, FLATTEN(B$1:E455), FLATTEN(O$1:R455), 500, 0, -1)))"),"")</f>
        <v/>
      </c>
      <c r="K456" s="9" t="str">
        <f t="shared" si="2"/>
        <v/>
      </c>
      <c r="L456" s="9" t="str">
        <f t="shared" si="3"/>
        <v/>
      </c>
      <c r="M456" s="32" t="str">
        <f t="shared" si="4"/>
        <v/>
      </c>
      <c r="N456" s="9" t="str">
        <f t="shared" si="5"/>
        <v/>
      </c>
      <c r="O456" s="9" t="str">
        <f t="shared" si="6"/>
        <v/>
      </c>
      <c r="P456" s="9" t="str">
        <f t="shared" si="7"/>
        <v/>
      </c>
      <c r="Q456" s="9" t="str">
        <f t="shared" si="8"/>
        <v/>
      </c>
      <c r="R456" s="9" t="str">
        <f t="shared" si="9"/>
        <v/>
      </c>
    </row>
    <row r="457">
      <c r="A457" s="1" t="str">
        <f t="shared" si="1"/>
        <v/>
      </c>
      <c r="G457" s="9" t="str">
        <f>IFERROR(__xludf.DUMMYFUNCTION("IF(B457="""","""",ROUND(XLOOKUP(B457, FLATTEN(B$1:E456), FLATTEN(O$1:R456), 500, 0, -1)))"),"")</f>
        <v/>
      </c>
      <c r="H457" s="9" t="str">
        <f>IFERROR(__xludf.DUMMYFUNCTION("IF(C457="""","""",ROUND(XLOOKUP(C457, FLATTEN(B$1:E456), FLATTEN(O$1:R456), 500, 0, -1)))"),"")</f>
        <v/>
      </c>
      <c r="I457" s="9" t="str">
        <f>IFERROR(__xludf.DUMMYFUNCTION("IF(D457="""","""",ROUND(XLOOKUP(D457, FLATTEN(B$1:E456), FLATTEN(O$1:R456), 500, 0, -1)))"),"")</f>
        <v/>
      </c>
      <c r="J457" s="9" t="str">
        <f>IFERROR(__xludf.DUMMYFUNCTION("IF(E457="""","""",ROUND(XLOOKUP(E457, FLATTEN(B$1:E456), FLATTEN(O$1:R456), 500, 0, -1)))"),"")</f>
        <v/>
      </c>
      <c r="K457" s="9" t="str">
        <f t="shared" si="2"/>
        <v/>
      </c>
      <c r="L457" s="9" t="str">
        <f t="shared" si="3"/>
        <v/>
      </c>
      <c r="M457" s="32" t="str">
        <f t="shared" si="4"/>
        <v/>
      </c>
      <c r="N457" s="9" t="str">
        <f t="shared" si="5"/>
        <v/>
      </c>
      <c r="O457" s="9" t="str">
        <f t="shared" si="6"/>
        <v/>
      </c>
      <c r="P457" s="9" t="str">
        <f t="shared" si="7"/>
        <v/>
      </c>
      <c r="Q457" s="9" t="str">
        <f t="shared" si="8"/>
        <v/>
      </c>
      <c r="R457" s="9" t="str">
        <f t="shared" si="9"/>
        <v/>
      </c>
    </row>
    <row r="458">
      <c r="A458" s="1" t="str">
        <f t="shared" si="1"/>
        <v/>
      </c>
      <c r="G458" s="9" t="str">
        <f>IFERROR(__xludf.DUMMYFUNCTION("IF(B458="""","""",ROUND(XLOOKUP(B458, FLATTEN(B$1:E457), FLATTEN(O$1:R457), 500, 0, -1)))"),"")</f>
        <v/>
      </c>
      <c r="H458" s="9" t="str">
        <f>IFERROR(__xludf.DUMMYFUNCTION("IF(C458="""","""",ROUND(XLOOKUP(C458, FLATTEN(B$1:E457), FLATTEN(O$1:R457), 500, 0, -1)))"),"")</f>
        <v/>
      </c>
      <c r="I458" s="9" t="str">
        <f>IFERROR(__xludf.DUMMYFUNCTION("IF(D458="""","""",ROUND(XLOOKUP(D458, FLATTEN(B$1:E457), FLATTEN(O$1:R457), 500, 0, -1)))"),"")</f>
        <v/>
      </c>
      <c r="J458" s="9" t="str">
        <f>IFERROR(__xludf.DUMMYFUNCTION("IF(E458="""","""",ROUND(XLOOKUP(E458, FLATTEN(B$1:E457), FLATTEN(O$1:R457), 500, 0, -1)))"),"")</f>
        <v/>
      </c>
      <c r="K458" s="9" t="str">
        <f t="shared" si="2"/>
        <v/>
      </c>
      <c r="L458" s="9" t="str">
        <f t="shared" si="3"/>
        <v/>
      </c>
      <c r="M458" s="32" t="str">
        <f t="shared" si="4"/>
        <v/>
      </c>
      <c r="N458" s="9" t="str">
        <f t="shared" si="5"/>
        <v/>
      </c>
      <c r="O458" s="9" t="str">
        <f t="shared" si="6"/>
        <v/>
      </c>
      <c r="P458" s="9" t="str">
        <f t="shared" si="7"/>
        <v/>
      </c>
      <c r="Q458" s="9" t="str">
        <f t="shared" si="8"/>
        <v/>
      </c>
      <c r="R458" s="9" t="str">
        <f t="shared" si="9"/>
        <v/>
      </c>
    </row>
    <row r="459">
      <c r="A459" s="1" t="str">
        <f t="shared" si="1"/>
        <v/>
      </c>
      <c r="G459" s="9" t="str">
        <f>IFERROR(__xludf.DUMMYFUNCTION("IF(B459="""","""",ROUND(XLOOKUP(B459, FLATTEN(B$1:E458), FLATTEN(O$1:R458), 500, 0, -1)))"),"")</f>
        <v/>
      </c>
      <c r="H459" s="9" t="str">
        <f>IFERROR(__xludf.DUMMYFUNCTION("IF(C459="""","""",ROUND(XLOOKUP(C459, FLATTEN(B$1:E458), FLATTEN(O$1:R458), 500, 0, -1)))"),"")</f>
        <v/>
      </c>
      <c r="I459" s="9" t="str">
        <f>IFERROR(__xludf.DUMMYFUNCTION("IF(D459="""","""",ROUND(XLOOKUP(D459, FLATTEN(B$1:E458), FLATTEN(O$1:R458), 500, 0, -1)))"),"")</f>
        <v/>
      </c>
      <c r="J459" s="9" t="str">
        <f>IFERROR(__xludf.DUMMYFUNCTION("IF(E459="""","""",ROUND(XLOOKUP(E459, FLATTEN(B$1:E458), FLATTEN(O$1:R458), 500, 0, -1)))"),"")</f>
        <v/>
      </c>
      <c r="K459" s="9" t="str">
        <f t="shared" si="2"/>
        <v/>
      </c>
      <c r="L459" s="9" t="str">
        <f t="shared" si="3"/>
        <v/>
      </c>
      <c r="M459" s="32" t="str">
        <f t="shared" si="4"/>
        <v/>
      </c>
      <c r="N459" s="9" t="str">
        <f t="shared" si="5"/>
        <v/>
      </c>
      <c r="O459" s="9" t="str">
        <f t="shared" si="6"/>
        <v/>
      </c>
      <c r="P459" s="9" t="str">
        <f t="shared" si="7"/>
        <v/>
      </c>
      <c r="Q459" s="9" t="str">
        <f t="shared" si="8"/>
        <v/>
      </c>
      <c r="R459" s="9" t="str">
        <f t="shared" si="9"/>
        <v/>
      </c>
    </row>
    <row r="460">
      <c r="A460" s="1" t="str">
        <f t="shared" si="1"/>
        <v/>
      </c>
      <c r="G460" s="9" t="str">
        <f>IFERROR(__xludf.DUMMYFUNCTION("IF(B460="""","""",ROUND(XLOOKUP(B460, FLATTEN(B$1:E459), FLATTEN(O$1:R459), 500, 0, -1)))"),"")</f>
        <v/>
      </c>
      <c r="H460" s="9" t="str">
        <f>IFERROR(__xludf.DUMMYFUNCTION("IF(C460="""","""",ROUND(XLOOKUP(C460, FLATTEN(B$1:E459), FLATTEN(O$1:R459), 500, 0, -1)))"),"")</f>
        <v/>
      </c>
      <c r="I460" s="9" t="str">
        <f>IFERROR(__xludf.DUMMYFUNCTION("IF(D460="""","""",ROUND(XLOOKUP(D460, FLATTEN(B$1:E459), FLATTEN(O$1:R459), 500, 0, -1)))"),"")</f>
        <v/>
      </c>
      <c r="J460" s="9" t="str">
        <f>IFERROR(__xludf.DUMMYFUNCTION("IF(E460="""","""",ROUND(XLOOKUP(E460, FLATTEN(B$1:E459), FLATTEN(O$1:R459), 500, 0, -1)))"),"")</f>
        <v/>
      </c>
      <c r="K460" s="9" t="str">
        <f t="shared" si="2"/>
        <v/>
      </c>
      <c r="L460" s="9" t="str">
        <f t="shared" si="3"/>
        <v/>
      </c>
      <c r="M460" s="32" t="str">
        <f t="shared" si="4"/>
        <v/>
      </c>
      <c r="N460" s="9" t="str">
        <f t="shared" si="5"/>
        <v/>
      </c>
      <c r="O460" s="9" t="str">
        <f t="shared" si="6"/>
        <v/>
      </c>
      <c r="P460" s="9" t="str">
        <f t="shared" si="7"/>
        <v/>
      </c>
      <c r="Q460" s="9" t="str">
        <f t="shared" si="8"/>
        <v/>
      </c>
      <c r="R460" s="9" t="str">
        <f t="shared" si="9"/>
        <v/>
      </c>
    </row>
    <row r="461">
      <c r="A461" s="1" t="str">
        <f t="shared" si="1"/>
        <v/>
      </c>
      <c r="G461" s="9" t="str">
        <f>IFERROR(__xludf.DUMMYFUNCTION("IF(B461="""","""",ROUND(XLOOKUP(B461, FLATTEN(B$1:E460), FLATTEN(O$1:R460), 500, 0, -1)))"),"")</f>
        <v/>
      </c>
      <c r="H461" s="9" t="str">
        <f>IFERROR(__xludf.DUMMYFUNCTION("IF(C461="""","""",ROUND(XLOOKUP(C461, FLATTEN(B$1:E460), FLATTEN(O$1:R460), 500, 0, -1)))"),"")</f>
        <v/>
      </c>
      <c r="I461" s="9" t="str">
        <f>IFERROR(__xludf.DUMMYFUNCTION("IF(D461="""","""",ROUND(XLOOKUP(D461, FLATTEN(B$1:E460), FLATTEN(O$1:R460), 500, 0, -1)))"),"")</f>
        <v/>
      </c>
      <c r="J461" s="9" t="str">
        <f>IFERROR(__xludf.DUMMYFUNCTION("IF(E461="""","""",ROUND(XLOOKUP(E461, FLATTEN(B$1:E460), FLATTEN(O$1:R460), 500, 0, -1)))"),"")</f>
        <v/>
      </c>
      <c r="K461" s="9" t="str">
        <f t="shared" si="2"/>
        <v/>
      </c>
      <c r="L461" s="9" t="str">
        <f t="shared" si="3"/>
        <v/>
      </c>
      <c r="M461" s="32" t="str">
        <f t="shared" si="4"/>
        <v/>
      </c>
      <c r="N461" s="9" t="str">
        <f t="shared" si="5"/>
        <v/>
      </c>
      <c r="O461" s="9" t="str">
        <f t="shared" si="6"/>
        <v/>
      </c>
      <c r="P461" s="9" t="str">
        <f t="shared" si="7"/>
        <v/>
      </c>
      <c r="Q461" s="9" t="str">
        <f t="shared" si="8"/>
        <v/>
      </c>
      <c r="R461" s="9" t="str">
        <f t="shared" si="9"/>
        <v/>
      </c>
    </row>
    <row r="462">
      <c r="A462" s="1" t="str">
        <f t="shared" si="1"/>
        <v/>
      </c>
      <c r="G462" s="9" t="str">
        <f>IFERROR(__xludf.DUMMYFUNCTION("IF(B462="""","""",ROUND(XLOOKUP(B462, FLATTEN(B$1:E461), FLATTEN(O$1:R461), 500, 0, -1)))"),"")</f>
        <v/>
      </c>
      <c r="H462" s="9" t="str">
        <f>IFERROR(__xludf.DUMMYFUNCTION("IF(C462="""","""",ROUND(XLOOKUP(C462, FLATTEN(B$1:E461), FLATTEN(O$1:R461), 500, 0, -1)))"),"")</f>
        <v/>
      </c>
      <c r="I462" s="9" t="str">
        <f>IFERROR(__xludf.DUMMYFUNCTION("IF(D462="""","""",ROUND(XLOOKUP(D462, FLATTEN(B$1:E461), FLATTEN(O$1:R461), 500, 0, -1)))"),"")</f>
        <v/>
      </c>
      <c r="J462" s="9" t="str">
        <f>IFERROR(__xludf.DUMMYFUNCTION("IF(E462="""","""",ROUND(XLOOKUP(E462, FLATTEN(B$1:E461), FLATTEN(O$1:R461), 500, 0, -1)))"),"")</f>
        <v/>
      </c>
      <c r="K462" s="9" t="str">
        <f t="shared" si="2"/>
        <v/>
      </c>
      <c r="L462" s="9" t="str">
        <f t="shared" si="3"/>
        <v/>
      </c>
      <c r="M462" s="32" t="str">
        <f t="shared" si="4"/>
        <v/>
      </c>
      <c r="N462" s="9" t="str">
        <f t="shared" si="5"/>
        <v/>
      </c>
      <c r="O462" s="9" t="str">
        <f t="shared" si="6"/>
        <v/>
      </c>
      <c r="P462" s="9" t="str">
        <f t="shared" si="7"/>
        <v/>
      </c>
      <c r="Q462" s="9" t="str">
        <f t="shared" si="8"/>
        <v/>
      </c>
      <c r="R462" s="9" t="str">
        <f t="shared" si="9"/>
        <v/>
      </c>
    </row>
    <row r="463">
      <c r="A463" s="1" t="str">
        <f t="shared" si="1"/>
        <v/>
      </c>
      <c r="G463" s="9" t="str">
        <f>IFERROR(__xludf.DUMMYFUNCTION("IF(B463="""","""",ROUND(XLOOKUP(B463, FLATTEN(B$1:E462), FLATTEN(O$1:R462), 500, 0, -1)))"),"")</f>
        <v/>
      </c>
      <c r="H463" s="9" t="str">
        <f>IFERROR(__xludf.DUMMYFUNCTION("IF(C463="""","""",ROUND(XLOOKUP(C463, FLATTEN(B$1:E462), FLATTEN(O$1:R462), 500, 0, -1)))"),"")</f>
        <v/>
      </c>
      <c r="I463" s="9" t="str">
        <f>IFERROR(__xludf.DUMMYFUNCTION("IF(D463="""","""",ROUND(XLOOKUP(D463, FLATTEN(B$1:E462), FLATTEN(O$1:R462), 500, 0, -1)))"),"")</f>
        <v/>
      </c>
      <c r="J463" s="9" t="str">
        <f>IFERROR(__xludf.DUMMYFUNCTION("IF(E463="""","""",ROUND(XLOOKUP(E463, FLATTEN(B$1:E462), FLATTEN(O$1:R462), 500, 0, -1)))"),"")</f>
        <v/>
      </c>
      <c r="K463" s="9" t="str">
        <f t="shared" si="2"/>
        <v/>
      </c>
      <c r="L463" s="9" t="str">
        <f t="shared" si="3"/>
        <v/>
      </c>
      <c r="M463" s="32" t="str">
        <f t="shared" si="4"/>
        <v/>
      </c>
      <c r="N463" s="9" t="str">
        <f t="shared" si="5"/>
        <v/>
      </c>
      <c r="O463" s="9" t="str">
        <f t="shared" si="6"/>
        <v/>
      </c>
      <c r="P463" s="9" t="str">
        <f t="shared" si="7"/>
        <v/>
      </c>
      <c r="Q463" s="9" t="str">
        <f t="shared" si="8"/>
        <v/>
      </c>
      <c r="R463" s="9" t="str">
        <f t="shared" si="9"/>
        <v/>
      </c>
    </row>
    <row r="464">
      <c r="A464" s="1" t="str">
        <f t="shared" si="1"/>
        <v/>
      </c>
      <c r="G464" s="9" t="str">
        <f>IFERROR(__xludf.DUMMYFUNCTION("IF(B464="""","""",ROUND(XLOOKUP(B464, FLATTEN(B$1:E463), FLATTEN(O$1:R463), 500, 0, -1)))"),"")</f>
        <v/>
      </c>
      <c r="H464" s="9" t="str">
        <f>IFERROR(__xludf.DUMMYFUNCTION("IF(C464="""","""",ROUND(XLOOKUP(C464, FLATTEN(B$1:E463), FLATTEN(O$1:R463), 500, 0, -1)))"),"")</f>
        <v/>
      </c>
      <c r="I464" s="9" t="str">
        <f>IFERROR(__xludf.DUMMYFUNCTION("IF(D464="""","""",ROUND(XLOOKUP(D464, FLATTEN(B$1:E463), FLATTEN(O$1:R463), 500, 0, -1)))"),"")</f>
        <v/>
      </c>
      <c r="J464" s="9" t="str">
        <f>IFERROR(__xludf.DUMMYFUNCTION("IF(E464="""","""",ROUND(XLOOKUP(E464, FLATTEN(B$1:E463), FLATTEN(O$1:R463), 500, 0, -1)))"),"")</f>
        <v/>
      </c>
      <c r="K464" s="9" t="str">
        <f t="shared" si="2"/>
        <v/>
      </c>
      <c r="L464" s="9" t="str">
        <f t="shared" si="3"/>
        <v/>
      </c>
      <c r="M464" s="32" t="str">
        <f t="shared" si="4"/>
        <v/>
      </c>
      <c r="N464" s="9" t="str">
        <f t="shared" si="5"/>
        <v/>
      </c>
      <c r="O464" s="9" t="str">
        <f t="shared" si="6"/>
        <v/>
      </c>
      <c r="P464" s="9" t="str">
        <f t="shared" si="7"/>
        <v/>
      </c>
      <c r="Q464" s="9" t="str">
        <f t="shared" si="8"/>
        <v/>
      </c>
      <c r="R464" s="9" t="str">
        <f t="shared" si="9"/>
        <v/>
      </c>
    </row>
    <row r="465">
      <c r="A465" s="1" t="str">
        <f t="shared" si="1"/>
        <v/>
      </c>
      <c r="G465" s="9" t="str">
        <f>IFERROR(__xludf.DUMMYFUNCTION("IF(B465="""","""",ROUND(XLOOKUP(B465, FLATTEN(B$1:E464), FLATTEN(O$1:R464), 500, 0, -1)))"),"")</f>
        <v/>
      </c>
      <c r="H465" s="9" t="str">
        <f>IFERROR(__xludf.DUMMYFUNCTION("IF(C465="""","""",ROUND(XLOOKUP(C465, FLATTEN(B$1:E464), FLATTEN(O$1:R464), 500, 0, -1)))"),"")</f>
        <v/>
      </c>
      <c r="I465" s="9" t="str">
        <f>IFERROR(__xludf.DUMMYFUNCTION("IF(D465="""","""",ROUND(XLOOKUP(D465, FLATTEN(B$1:E464), FLATTEN(O$1:R464), 500, 0, -1)))"),"")</f>
        <v/>
      </c>
      <c r="J465" s="9" t="str">
        <f>IFERROR(__xludf.DUMMYFUNCTION("IF(E465="""","""",ROUND(XLOOKUP(E465, FLATTEN(B$1:E464), FLATTEN(O$1:R464), 500, 0, -1)))"),"")</f>
        <v/>
      </c>
      <c r="K465" s="9" t="str">
        <f t="shared" si="2"/>
        <v/>
      </c>
      <c r="L465" s="9" t="str">
        <f t="shared" si="3"/>
        <v/>
      </c>
      <c r="M465" s="32" t="str">
        <f t="shared" si="4"/>
        <v/>
      </c>
      <c r="N465" s="9" t="str">
        <f t="shared" si="5"/>
        <v/>
      </c>
      <c r="O465" s="9" t="str">
        <f t="shared" si="6"/>
        <v/>
      </c>
      <c r="P465" s="9" t="str">
        <f t="shared" si="7"/>
        <v/>
      </c>
      <c r="Q465" s="9" t="str">
        <f t="shared" si="8"/>
        <v/>
      </c>
      <c r="R465" s="9" t="str">
        <f t="shared" si="9"/>
        <v/>
      </c>
    </row>
    <row r="466">
      <c r="A466" s="1" t="str">
        <f t="shared" si="1"/>
        <v/>
      </c>
      <c r="G466" s="9" t="str">
        <f>IFERROR(__xludf.DUMMYFUNCTION("IF(B466="""","""",ROUND(XLOOKUP(B466, FLATTEN(B$1:E465), FLATTEN(O$1:R465), 500, 0, -1)))"),"")</f>
        <v/>
      </c>
      <c r="H466" s="9" t="str">
        <f>IFERROR(__xludf.DUMMYFUNCTION("IF(C466="""","""",ROUND(XLOOKUP(C466, FLATTEN(B$1:E465), FLATTEN(O$1:R465), 500, 0, -1)))"),"")</f>
        <v/>
      </c>
      <c r="I466" s="9" t="str">
        <f>IFERROR(__xludf.DUMMYFUNCTION("IF(D466="""","""",ROUND(XLOOKUP(D466, FLATTEN(B$1:E465), FLATTEN(O$1:R465), 500, 0, -1)))"),"")</f>
        <v/>
      </c>
      <c r="J466" s="9" t="str">
        <f>IFERROR(__xludf.DUMMYFUNCTION("IF(E466="""","""",ROUND(XLOOKUP(E466, FLATTEN(B$1:E465), FLATTEN(O$1:R465), 500, 0, -1)))"),"")</f>
        <v/>
      </c>
      <c r="K466" s="9" t="str">
        <f t="shared" si="2"/>
        <v/>
      </c>
      <c r="L466" s="9" t="str">
        <f t="shared" si="3"/>
        <v/>
      </c>
      <c r="M466" s="32" t="str">
        <f t="shared" si="4"/>
        <v/>
      </c>
      <c r="N466" s="9" t="str">
        <f t="shared" si="5"/>
        <v/>
      </c>
      <c r="O466" s="9" t="str">
        <f t="shared" si="6"/>
        <v/>
      </c>
      <c r="P466" s="9" t="str">
        <f t="shared" si="7"/>
        <v/>
      </c>
      <c r="Q466" s="9" t="str">
        <f t="shared" si="8"/>
        <v/>
      </c>
      <c r="R466" s="9" t="str">
        <f t="shared" si="9"/>
        <v/>
      </c>
    </row>
    <row r="467">
      <c r="A467" s="1" t="str">
        <f t="shared" si="1"/>
        <v/>
      </c>
      <c r="G467" s="9" t="str">
        <f>IFERROR(__xludf.DUMMYFUNCTION("IF(B467="""","""",ROUND(XLOOKUP(B467, FLATTEN(B$1:E466), FLATTEN(O$1:R466), 500, 0, -1)))"),"")</f>
        <v/>
      </c>
      <c r="H467" s="9" t="str">
        <f>IFERROR(__xludf.DUMMYFUNCTION("IF(C467="""","""",ROUND(XLOOKUP(C467, FLATTEN(B$1:E466), FLATTEN(O$1:R466), 500, 0, -1)))"),"")</f>
        <v/>
      </c>
      <c r="I467" s="9" t="str">
        <f>IFERROR(__xludf.DUMMYFUNCTION("IF(D467="""","""",ROUND(XLOOKUP(D467, FLATTEN(B$1:E466), FLATTEN(O$1:R466), 500, 0, -1)))"),"")</f>
        <v/>
      </c>
      <c r="J467" s="9" t="str">
        <f>IFERROR(__xludf.DUMMYFUNCTION("IF(E467="""","""",ROUND(XLOOKUP(E467, FLATTEN(B$1:E466), FLATTEN(O$1:R466), 500, 0, -1)))"),"")</f>
        <v/>
      </c>
      <c r="K467" s="9" t="str">
        <f t="shared" si="2"/>
        <v/>
      </c>
      <c r="L467" s="9" t="str">
        <f t="shared" si="3"/>
        <v/>
      </c>
      <c r="M467" s="32" t="str">
        <f t="shared" si="4"/>
        <v/>
      </c>
      <c r="N467" s="9" t="str">
        <f t="shared" si="5"/>
        <v/>
      </c>
      <c r="O467" s="9" t="str">
        <f t="shared" si="6"/>
        <v/>
      </c>
      <c r="P467" s="9" t="str">
        <f t="shared" si="7"/>
        <v/>
      </c>
      <c r="Q467" s="9" t="str">
        <f t="shared" si="8"/>
        <v/>
      </c>
      <c r="R467" s="9" t="str">
        <f t="shared" si="9"/>
        <v/>
      </c>
    </row>
    <row r="468">
      <c r="A468" s="1" t="str">
        <f t="shared" si="1"/>
        <v/>
      </c>
      <c r="G468" s="9" t="str">
        <f>IFERROR(__xludf.DUMMYFUNCTION("IF(B468="""","""",ROUND(XLOOKUP(B468, FLATTEN(B$1:E467), FLATTEN(O$1:R467), 500, 0, -1)))"),"")</f>
        <v/>
      </c>
      <c r="H468" s="9" t="str">
        <f>IFERROR(__xludf.DUMMYFUNCTION("IF(C468="""","""",ROUND(XLOOKUP(C468, FLATTEN(B$1:E467), FLATTEN(O$1:R467), 500, 0, -1)))"),"")</f>
        <v/>
      </c>
      <c r="I468" s="9" t="str">
        <f>IFERROR(__xludf.DUMMYFUNCTION("IF(D468="""","""",ROUND(XLOOKUP(D468, FLATTEN(B$1:E467), FLATTEN(O$1:R467), 500, 0, -1)))"),"")</f>
        <v/>
      </c>
      <c r="J468" s="9" t="str">
        <f>IFERROR(__xludf.DUMMYFUNCTION("IF(E468="""","""",ROUND(XLOOKUP(E468, FLATTEN(B$1:E467), FLATTEN(O$1:R467), 500, 0, -1)))"),"")</f>
        <v/>
      </c>
      <c r="K468" s="9" t="str">
        <f t="shared" si="2"/>
        <v/>
      </c>
      <c r="L468" s="9" t="str">
        <f t="shared" si="3"/>
        <v/>
      </c>
      <c r="M468" s="32" t="str">
        <f t="shared" si="4"/>
        <v/>
      </c>
      <c r="N468" s="9" t="str">
        <f t="shared" si="5"/>
        <v/>
      </c>
      <c r="O468" s="9" t="str">
        <f t="shared" si="6"/>
        <v/>
      </c>
      <c r="P468" s="9" t="str">
        <f t="shared" si="7"/>
        <v/>
      </c>
      <c r="Q468" s="9" t="str">
        <f t="shared" si="8"/>
        <v/>
      </c>
      <c r="R468" s="9" t="str">
        <f t="shared" si="9"/>
        <v/>
      </c>
    </row>
    <row r="469">
      <c r="A469" s="1" t="str">
        <f t="shared" si="1"/>
        <v/>
      </c>
      <c r="G469" s="9" t="str">
        <f>IFERROR(__xludf.DUMMYFUNCTION("IF(B469="""","""",ROUND(XLOOKUP(B469, FLATTEN(B$1:E468), FLATTEN(O$1:R468), 500, 0, -1)))"),"")</f>
        <v/>
      </c>
      <c r="H469" s="9" t="str">
        <f>IFERROR(__xludf.DUMMYFUNCTION("IF(C469="""","""",ROUND(XLOOKUP(C469, FLATTEN(B$1:E468), FLATTEN(O$1:R468), 500, 0, -1)))"),"")</f>
        <v/>
      </c>
      <c r="I469" s="9" t="str">
        <f>IFERROR(__xludf.DUMMYFUNCTION("IF(D469="""","""",ROUND(XLOOKUP(D469, FLATTEN(B$1:E468), FLATTEN(O$1:R468), 500, 0, -1)))"),"")</f>
        <v/>
      </c>
      <c r="J469" s="9" t="str">
        <f>IFERROR(__xludf.DUMMYFUNCTION("IF(E469="""","""",ROUND(XLOOKUP(E469, FLATTEN(B$1:E468), FLATTEN(O$1:R468), 500, 0, -1)))"),"")</f>
        <v/>
      </c>
      <c r="K469" s="9" t="str">
        <f t="shared" si="2"/>
        <v/>
      </c>
      <c r="L469" s="9" t="str">
        <f t="shared" si="3"/>
        <v/>
      </c>
      <c r="M469" s="32" t="str">
        <f t="shared" si="4"/>
        <v/>
      </c>
      <c r="N469" s="9" t="str">
        <f t="shared" si="5"/>
        <v/>
      </c>
      <c r="O469" s="9" t="str">
        <f t="shared" si="6"/>
        <v/>
      </c>
      <c r="P469" s="9" t="str">
        <f t="shared" si="7"/>
        <v/>
      </c>
      <c r="Q469" s="9" t="str">
        <f t="shared" si="8"/>
        <v/>
      </c>
      <c r="R469" s="9" t="str">
        <f t="shared" si="9"/>
        <v/>
      </c>
    </row>
    <row r="470">
      <c r="A470" s="1" t="str">
        <f t="shared" si="1"/>
        <v/>
      </c>
      <c r="G470" s="9" t="str">
        <f>IFERROR(__xludf.DUMMYFUNCTION("IF(B470="""","""",ROUND(XLOOKUP(B470, FLATTEN(B$1:E469), FLATTEN(O$1:R469), 500, 0, -1)))"),"")</f>
        <v/>
      </c>
      <c r="H470" s="9" t="str">
        <f>IFERROR(__xludf.DUMMYFUNCTION("IF(C470="""","""",ROUND(XLOOKUP(C470, FLATTEN(B$1:E469), FLATTEN(O$1:R469), 500, 0, -1)))"),"")</f>
        <v/>
      </c>
      <c r="I470" s="9" t="str">
        <f>IFERROR(__xludf.DUMMYFUNCTION("IF(D470="""","""",ROUND(XLOOKUP(D470, FLATTEN(B$1:E469), FLATTEN(O$1:R469), 500, 0, -1)))"),"")</f>
        <v/>
      </c>
      <c r="J470" s="9" t="str">
        <f>IFERROR(__xludf.DUMMYFUNCTION("IF(E470="""","""",ROUND(XLOOKUP(E470, FLATTEN(B$1:E469), FLATTEN(O$1:R469), 500, 0, -1)))"),"")</f>
        <v/>
      </c>
      <c r="K470" s="9" t="str">
        <f t="shared" si="2"/>
        <v/>
      </c>
      <c r="L470" s="9" t="str">
        <f t="shared" si="3"/>
        <v/>
      </c>
      <c r="M470" s="32" t="str">
        <f t="shared" si="4"/>
        <v/>
      </c>
      <c r="N470" s="9" t="str">
        <f t="shared" si="5"/>
        <v/>
      </c>
      <c r="O470" s="9" t="str">
        <f t="shared" si="6"/>
        <v/>
      </c>
      <c r="P470" s="9" t="str">
        <f t="shared" si="7"/>
        <v/>
      </c>
      <c r="Q470" s="9" t="str">
        <f t="shared" si="8"/>
        <v/>
      </c>
      <c r="R470" s="9" t="str">
        <f t="shared" si="9"/>
        <v/>
      </c>
    </row>
    <row r="471">
      <c r="A471" s="1" t="str">
        <f t="shared" si="1"/>
        <v/>
      </c>
      <c r="G471" s="9" t="str">
        <f>IFERROR(__xludf.DUMMYFUNCTION("IF(B471="""","""",ROUND(XLOOKUP(B471, FLATTEN(B$1:E470), FLATTEN(O$1:R470), 500, 0, -1)))"),"")</f>
        <v/>
      </c>
      <c r="H471" s="9" t="str">
        <f>IFERROR(__xludf.DUMMYFUNCTION("IF(C471="""","""",ROUND(XLOOKUP(C471, FLATTEN(B$1:E470), FLATTEN(O$1:R470), 500, 0, -1)))"),"")</f>
        <v/>
      </c>
      <c r="I471" s="9" t="str">
        <f>IFERROR(__xludf.DUMMYFUNCTION("IF(D471="""","""",ROUND(XLOOKUP(D471, FLATTEN(B$1:E470), FLATTEN(O$1:R470), 500, 0, -1)))"),"")</f>
        <v/>
      </c>
      <c r="J471" s="9" t="str">
        <f>IFERROR(__xludf.DUMMYFUNCTION("IF(E471="""","""",ROUND(XLOOKUP(E471, FLATTEN(B$1:E470), FLATTEN(O$1:R470), 500, 0, -1)))"),"")</f>
        <v/>
      </c>
      <c r="K471" s="9" t="str">
        <f t="shared" si="2"/>
        <v/>
      </c>
      <c r="L471" s="9" t="str">
        <f t="shared" si="3"/>
        <v/>
      </c>
      <c r="M471" s="32" t="str">
        <f t="shared" si="4"/>
        <v/>
      </c>
      <c r="N471" s="9" t="str">
        <f t="shared" si="5"/>
        <v/>
      </c>
      <c r="O471" s="9" t="str">
        <f t="shared" si="6"/>
        <v/>
      </c>
      <c r="P471" s="9" t="str">
        <f t="shared" si="7"/>
        <v/>
      </c>
      <c r="Q471" s="9" t="str">
        <f t="shared" si="8"/>
        <v/>
      </c>
      <c r="R471" s="9" t="str">
        <f t="shared" si="9"/>
        <v/>
      </c>
    </row>
    <row r="472">
      <c r="A472" s="1" t="str">
        <f t="shared" si="1"/>
        <v/>
      </c>
      <c r="G472" s="9" t="str">
        <f>IFERROR(__xludf.DUMMYFUNCTION("IF(B472="""","""",ROUND(XLOOKUP(B472, FLATTEN(B$1:E471), FLATTEN(O$1:R471), 500, 0, -1)))"),"")</f>
        <v/>
      </c>
      <c r="H472" s="9" t="str">
        <f>IFERROR(__xludf.DUMMYFUNCTION("IF(C472="""","""",ROUND(XLOOKUP(C472, FLATTEN(B$1:E471), FLATTEN(O$1:R471), 500, 0, -1)))"),"")</f>
        <v/>
      </c>
      <c r="I472" s="9" t="str">
        <f>IFERROR(__xludf.DUMMYFUNCTION("IF(D472="""","""",ROUND(XLOOKUP(D472, FLATTEN(B$1:E471), FLATTEN(O$1:R471), 500, 0, -1)))"),"")</f>
        <v/>
      </c>
      <c r="J472" s="9" t="str">
        <f>IFERROR(__xludf.DUMMYFUNCTION("IF(E472="""","""",ROUND(XLOOKUP(E472, FLATTEN(B$1:E471), FLATTEN(O$1:R471), 500, 0, -1)))"),"")</f>
        <v/>
      </c>
      <c r="K472" s="9" t="str">
        <f t="shared" si="2"/>
        <v/>
      </c>
      <c r="L472" s="9" t="str">
        <f t="shared" si="3"/>
        <v/>
      </c>
      <c r="M472" s="32" t="str">
        <f t="shared" si="4"/>
        <v/>
      </c>
      <c r="N472" s="9" t="str">
        <f t="shared" si="5"/>
        <v/>
      </c>
      <c r="O472" s="9" t="str">
        <f t="shared" si="6"/>
        <v/>
      </c>
      <c r="P472" s="9" t="str">
        <f t="shared" si="7"/>
        <v/>
      </c>
      <c r="Q472" s="9" t="str">
        <f t="shared" si="8"/>
        <v/>
      </c>
      <c r="R472" s="9" t="str">
        <f t="shared" si="9"/>
        <v/>
      </c>
    </row>
    <row r="473">
      <c r="A473" s="1" t="str">
        <f t="shared" si="1"/>
        <v/>
      </c>
      <c r="G473" s="9" t="str">
        <f>IFERROR(__xludf.DUMMYFUNCTION("IF(B473="""","""",ROUND(XLOOKUP(B473, FLATTEN(B$1:E472), FLATTEN(O$1:R472), 500, 0, -1)))"),"")</f>
        <v/>
      </c>
      <c r="H473" s="9" t="str">
        <f>IFERROR(__xludf.DUMMYFUNCTION("IF(C473="""","""",ROUND(XLOOKUP(C473, FLATTEN(B$1:E472), FLATTEN(O$1:R472), 500, 0, -1)))"),"")</f>
        <v/>
      </c>
      <c r="I473" s="9" t="str">
        <f>IFERROR(__xludf.DUMMYFUNCTION("IF(D473="""","""",ROUND(XLOOKUP(D473, FLATTEN(B$1:E472), FLATTEN(O$1:R472), 500, 0, -1)))"),"")</f>
        <v/>
      </c>
      <c r="J473" s="9" t="str">
        <f>IFERROR(__xludf.DUMMYFUNCTION("IF(E473="""","""",ROUND(XLOOKUP(E473, FLATTEN(B$1:E472), FLATTEN(O$1:R472), 500, 0, -1)))"),"")</f>
        <v/>
      </c>
      <c r="K473" s="9" t="str">
        <f t="shared" si="2"/>
        <v/>
      </c>
      <c r="L473" s="9" t="str">
        <f t="shared" si="3"/>
        <v/>
      </c>
      <c r="M473" s="32" t="str">
        <f t="shared" si="4"/>
        <v/>
      </c>
      <c r="N473" s="9" t="str">
        <f t="shared" si="5"/>
        <v/>
      </c>
      <c r="O473" s="9" t="str">
        <f t="shared" si="6"/>
        <v/>
      </c>
      <c r="P473" s="9" t="str">
        <f t="shared" si="7"/>
        <v/>
      </c>
      <c r="Q473" s="9" t="str">
        <f t="shared" si="8"/>
        <v/>
      </c>
      <c r="R473" s="9" t="str">
        <f t="shared" si="9"/>
        <v/>
      </c>
    </row>
    <row r="474">
      <c r="A474" s="1" t="str">
        <f t="shared" si="1"/>
        <v/>
      </c>
      <c r="G474" s="9" t="str">
        <f>IFERROR(__xludf.DUMMYFUNCTION("IF(B474="""","""",ROUND(XLOOKUP(B474, FLATTEN(B$1:E473), FLATTEN(O$1:R473), 500, 0, -1)))"),"")</f>
        <v/>
      </c>
      <c r="H474" s="9" t="str">
        <f>IFERROR(__xludf.DUMMYFUNCTION("IF(C474="""","""",ROUND(XLOOKUP(C474, FLATTEN(B$1:E473), FLATTEN(O$1:R473), 500, 0, -1)))"),"")</f>
        <v/>
      </c>
      <c r="I474" s="9" t="str">
        <f>IFERROR(__xludf.DUMMYFUNCTION("IF(D474="""","""",ROUND(XLOOKUP(D474, FLATTEN(B$1:E473), FLATTEN(O$1:R473), 500, 0, -1)))"),"")</f>
        <v/>
      </c>
      <c r="J474" s="9" t="str">
        <f>IFERROR(__xludf.DUMMYFUNCTION("IF(E474="""","""",ROUND(XLOOKUP(E474, FLATTEN(B$1:E473), FLATTEN(O$1:R473), 500, 0, -1)))"),"")</f>
        <v/>
      </c>
      <c r="K474" s="9" t="str">
        <f t="shared" si="2"/>
        <v/>
      </c>
      <c r="L474" s="9" t="str">
        <f t="shared" si="3"/>
        <v/>
      </c>
      <c r="M474" s="32" t="str">
        <f t="shared" si="4"/>
        <v/>
      </c>
      <c r="N474" s="9" t="str">
        <f t="shared" si="5"/>
        <v/>
      </c>
      <c r="O474" s="9" t="str">
        <f t="shared" si="6"/>
        <v/>
      </c>
      <c r="P474" s="9" t="str">
        <f t="shared" si="7"/>
        <v/>
      </c>
      <c r="Q474" s="9" t="str">
        <f t="shared" si="8"/>
        <v/>
      </c>
      <c r="R474" s="9" t="str">
        <f t="shared" si="9"/>
        <v/>
      </c>
    </row>
    <row r="475">
      <c r="A475" s="1" t="str">
        <f t="shared" si="1"/>
        <v/>
      </c>
      <c r="G475" s="9" t="str">
        <f>IFERROR(__xludf.DUMMYFUNCTION("IF(B475="""","""",ROUND(XLOOKUP(B475, FLATTEN(B$1:E474), FLATTEN(O$1:R474), 500, 0, -1)))"),"")</f>
        <v/>
      </c>
      <c r="H475" s="9" t="str">
        <f>IFERROR(__xludf.DUMMYFUNCTION("IF(C475="""","""",ROUND(XLOOKUP(C475, FLATTEN(B$1:E474), FLATTEN(O$1:R474), 500, 0, -1)))"),"")</f>
        <v/>
      </c>
      <c r="I475" s="9" t="str">
        <f>IFERROR(__xludf.DUMMYFUNCTION("IF(D475="""","""",ROUND(XLOOKUP(D475, FLATTEN(B$1:E474), FLATTEN(O$1:R474), 500, 0, -1)))"),"")</f>
        <v/>
      </c>
      <c r="J475" s="9" t="str">
        <f>IFERROR(__xludf.DUMMYFUNCTION("IF(E475="""","""",ROUND(XLOOKUP(E475, FLATTEN(B$1:E474), FLATTEN(O$1:R474), 500, 0, -1)))"),"")</f>
        <v/>
      </c>
      <c r="K475" s="9" t="str">
        <f t="shared" si="2"/>
        <v/>
      </c>
      <c r="L475" s="9" t="str">
        <f t="shared" si="3"/>
        <v/>
      </c>
      <c r="M475" s="32" t="str">
        <f t="shared" si="4"/>
        <v/>
      </c>
      <c r="N475" s="9" t="str">
        <f t="shared" si="5"/>
        <v/>
      </c>
      <c r="O475" s="9" t="str">
        <f t="shared" si="6"/>
        <v/>
      </c>
      <c r="P475" s="9" t="str">
        <f t="shared" si="7"/>
        <v/>
      </c>
      <c r="Q475" s="9" t="str">
        <f t="shared" si="8"/>
        <v/>
      </c>
      <c r="R475" s="9" t="str">
        <f t="shared" si="9"/>
        <v/>
      </c>
    </row>
    <row r="476">
      <c r="A476" s="1" t="str">
        <f t="shared" si="1"/>
        <v/>
      </c>
      <c r="G476" s="9" t="str">
        <f>IFERROR(__xludf.DUMMYFUNCTION("IF(B476="""","""",ROUND(XLOOKUP(B476, FLATTEN(B$1:E475), FLATTEN(O$1:R475), 500, 0, -1)))"),"")</f>
        <v/>
      </c>
      <c r="H476" s="9" t="str">
        <f>IFERROR(__xludf.DUMMYFUNCTION("IF(C476="""","""",ROUND(XLOOKUP(C476, FLATTEN(B$1:E475), FLATTEN(O$1:R475), 500, 0, -1)))"),"")</f>
        <v/>
      </c>
      <c r="I476" s="9" t="str">
        <f>IFERROR(__xludf.DUMMYFUNCTION("IF(D476="""","""",ROUND(XLOOKUP(D476, FLATTEN(B$1:E475), FLATTEN(O$1:R475), 500, 0, -1)))"),"")</f>
        <v/>
      </c>
      <c r="J476" s="9" t="str">
        <f>IFERROR(__xludf.DUMMYFUNCTION("IF(E476="""","""",ROUND(XLOOKUP(E476, FLATTEN(B$1:E475), FLATTEN(O$1:R475), 500, 0, -1)))"),"")</f>
        <v/>
      </c>
      <c r="K476" s="9" t="str">
        <f t="shared" si="2"/>
        <v/>
      </c>
      <c r="L476" s="9" t="str">
        <f t="shared" si="3"/>
        <v/>
      </c>
      <c r="M476" s="32" t="str">
        <f t="shared" si="4"/>
        <v/>
      </c>
      <c r="N476" s="9" t="str">
        <f t="shared" si="5"/>
        <v/>
      </c>
      <c r="O476" s="9" t="str">
        <f t="shared" si="6"/>
        <v/>
      </c>
      <c r="P476" s="9" t="str">
        <f t="shared" si="7"/>
        <v/>
      </c>
      <c r="Q476" s="9" t="str">
        <f t="shared" si="8"/>
        <v/>
      </c>
      <c r="R476" s="9" t="str">
        <f t="shared" si="9"/>
        <v/>
      </c>
    </row>
    <row r="477">
      <c r="A477" s="1" t="str">
        <f t="shared" si="1"/>
        <v/>
      </c>
      <c r="G477" s="9" t="str">
        <f>IFERROR(__xludf.DUMMYFUNCTION("IF(B477="""","""",ROUND(XLOOKUP(B477, FLATTEN(B$1:E476), FLATTEN(O$1:R476), 500, 0, -1)))"),"")</f>
        <v/>
      </c>
      <c r="H477" s="9" t="str">
        <f>IFERROR(__xludf.DUMMYFUNCTION("IF(C477="""","""",ROUND(XLOOKUP(C477, FLATTEN(B$1:E476), FLATTEN(O$1:R476), 500, 0, -1)))"),"")</f>
        <v/>
      </c>
      <c r="I477" s="9" t="str">
        <f>IFERROR(__xludf.DUMMYFUNCTION("IF(D477="""","""",ROUND(XLOOKUP(D477, FLATTEN(B$1:E476), FLATTEN(O$1:R476), 500, 0, -1)))"),"")</f>
        <v/>
      </c>
      <c r="J477" s="9" t="str">
        <f>IFERROR(__xludf.DUMMYFUNCTION("IF(E477="""","""",ROUND(XLOOKUP(E477, FLATTEN(B$1:E476), FLATTEN(O$1:R476), 500, 0, -1)))"),"")</f>
        <v/>
      </c>
      <c r="K477" s="9" t="str">
        <f t="shared" si="2"/>
        <v/>
      </c>
      <c r="L477" s="9" t="str">
        <f t="shared" si="3"/>
        <v/>
      </c>
      <c r="M477" s="32" t="str">
        <f t="shared" si="4"/>
        <v/>
      </c>
      <c r="N477" s="9" t="str">
        <f t="shared" si="5"/>
        <v/>
      </c>
      <c r="O477" s="9" t="str">
        <f t="shared" si="6"/>
        <v/>
      </c>
      <c r="P477" s="9" t="str">
        <f t="shared" si="7"/>
        <v/>
      </c>
      <c r="Q477" s="9" t="str">
        <f t="shared" si="8"/>
        <v/>
      </c>
      <c r="R477" s="9" t="str">
        <f t="shared" si="9"/>
        <v/>
      </c>
    </row>
    <row r="478">
      <c r="A478" s="1" t="str">
        <f t="shared" si="1"/>
        <v/>
      </c>
      <c r="G478" s="9" t="str">
        <f>IFERROR(__xludf.DUMMYFUNCTION("IF(B478="""","""",ROUND(XLOOKUP(B478, FLATTEN(B$1:E477), FLATTEN(O$1:R477), 500, 0, -1)))"),"")</f>
        <v/>
      </c>
      <c r="H478" s="9" t="str">
        <f>IFERROR(__xludf.DUMMYFUNCTION("IF(C478="""","""",ROUND(XLOOKUP(C478, FLATTEN(B$1:E477), FLATTEN(O$1:R477), 500, 0, -1)))"),"")</f>
        <v/>
      </c>
      <c r="I478" s="9" t="str">
        <f>IFERROR(__xludf.DUMMYFUNCTION("IF(D478="""","""",ROUND(XLOOKUP(D478, FLATTEN(B$1:E477), FLATTEN(O$1:R477), 500, 0, -1)))"),"")</f>
        <v/>
      </c>
      <c r="J478" s="9" t="str">
        <f>IFERROR(__xludf.DUMMYFUNCTION("IF(E478="""","""",ROUND(XLOOKUP(E478, FLATTEN(B$1:E477), FLATTEN(O$1:R477), 500, 0, -1)))"),"")</f>
        <v/>
      </c>
      <c r="K478" s="9" t="str">
        <f t="shared" si="2"/>
        <v/>
      </c>
      <c r="L478" s="9" t="str">
        <f t="shared" si="3"/>
        <v/>
      </c>
      <c r="M478" s="32" t="str">
        <f t="shared" si="4"/>
        <v/>
      </c>
      <c r="N478" s="9" t="str">
        <f t="shared" si="5"/>
        <v/>
      </c>
      <c r="O478" s="9" t="str">
        <f t="shared" si="6"/>
        <v/>
      </c>
      <c r="P478" s="9" t="str">
        <f t="shared" si="7"/>
        <v/>
      </c>
      <c r="Q478" s="9" t="str">
        <f t="shared" si="8"/>
        <v/>
      </c>
      <c r="R478" s="9" t="str">
        <f t="shared" si="9"/>
        <v/>
      </c>
    </row>
    <row r="479">
      <c r="A479" s="1" t="str">
        <f t="shared" si="1"/>
        <v/>
      </c>
      <c r="G479" s="9" t="str">
        <f>IFERROR(__xludf.DUMMYFUNCTION("IF(B479="""","""",ROUND(XLOOKUP(B479, FLATTEN(B$1:E478), FLATTEN(O$1:R478), 500, 0, -1)))"),"")</f>
        <v/>
      </c>
      <c r="H479" s="9" t="str">
        <f>IFERROR(__xludf.DUMMYFUNCTION("IF(C479="""","""",ROUND(XLOOKUP(C479, FLATTEN(B$1:E478), FLATTEN(O$1:R478), 500, 0, -1)))"),"")</f>
        <v/>
      </c>
      <c r="I479" s="9" t="str">
        <f>IFERROR(__xludf.DUMMYFUNCTION("IF(D479="""","""",ROUND(XLOOKUP(D479, FLATTEN(B$1:E478), FLATTEN(O$1:R478), 500, 0, -1)))"),"")</f>
        <v/>
      </c>
      <c r="J479" s="9" t="str">
        <f>IFERROR(__xludf.DUMMYFUNCTION("IF(E479="""","""",ROUND(XLOOKUP(E479, FLATTEN(B$1:E478), FLATTEN(O$1:R478), 500, 0, -1)))"),"")</f>
        <v/>
      </c>
      <c r="K479" s="9" t="str">
        <f t="shared" si="2"/>
        <v/>
      </c>
      <c r="L479" s="9" t="str">
        <f t="shared" si="3"/>
        <v/>
      </c>
      <c r="M479" s="32" t="str">
        <f t="shared" si="4"/>
        <v/>
      </c>
      <c r="N479" s="9" t="str">
        <f t="shared" si="5"/>
        <v/>
      </c>
      <c r="O479" s="9" t="str">
        <f t="shared" si="6"/>
        <v/>
      </c>
      <c r="P479" s="9" t="str">
        <f t="shared" si="7"/>
        <v/>
      </c>
      <c r="Q479" s="9" t="str">
        <f t="shared" si="8"/>
        <v/>
      </c>
      <c r="R479" s="9" t="str">
        <f t="shared" si="9"/>
        <v/>
      </c>
    </row>
    <row r="480">
      <c r="A480" s="1" t="str">
        <f t="shared" si="1"/>
        <v/>
      </c>
      <c r="G480" s="9" t="str">
        <f>IFERROR(__xludf.DUMMYFUNCTION("IF(B480="""","""",ROUND(XLOOKUP(B480, FLATTEN(B$1:E479), FLATTEN(O$1:R479), 500, 0, -1)))"),"")</f>
        <v/>
      </c>
      <c r="H480" s="9" t="str">
        <f>IFERROR(__xludf.DUMMYFUNCTION("IF(C480="""","""",ROUND(XLOOKUP(C480, FLATTEN(B$1:E479), FLATTEN(O$1:R479), 500, 0, -1)))"),"")</f>
        <v/>
      </c>
      <c r="I480" s="9" t="str">
        <f>IFERROR(__xludf.DUMMYFUNCTION("IF(D480="""","""",ROUND(XLOOKUP(D480, FLATTEN(B$1:E479), FLATTEN(O$1:R479), 500, 0, -1)))"),"")</f>
        <v/>
      </c>
      <c r="J480" s="9" t="str">
        <f>IFERROR(__xludf.DUMMYFUNCTION("IF(E480="""","""",ROUND(XLOOKUP(E480, FLATTEN(B$1:E479), FLATTEN(O$1:R479), 500, 0, -1)))"),"")</f>
        <v/>
      </c>
      <c r="K480" s="9" t="str">
        <f t="shared" si="2"/>
        <v/>
      </c>
      <c r="L480" s="9" t="str">
        <f t="shared" si="3"/>
        <v/>
      </c>
      <c r="M480" s="32" t="str">
        <f t="shared" si="4"/>
        <v/>
      </c>
      <c r="N480" s="9" t="str">
        <f t="shared" si="5"/>
        <v/>
      </c>
      <c r="O480" s="9" t="str">
        <f t="shared" si="6"/>
        <v/>
      </c>
      <c r="P480" s="9" t="str">
        <f t="shared" si="7"/>
        <v/>
      </c>
      <c r="Q480" s="9" t="str">
        <f t="shared" si="8"/>
        <v/>
      </c>
      <c r="R480" s="9" t="str">
        <f t="shared" si="9"/>
        <v/>
      </c>
    </row>
    <row r="481">
      <c r="A481" s="1" t="str">
        <f t="shared" si="1"/>
        <v/>
      </c>
      <c r="G481" s="9" t="str">
        <f>IFERROR(__xludf.DUMMYFUNCTION("IF(B481="""","""",ROUND(XLOOKUP(B481, FLATTEN(B$1:E480), FLATTEN(O$1:R480), 500, 0, -1)))"),"")</f>
        <v/>
      </c>
      <c r="H481" s="9" t="str">
        <f>IFERROR(__xludf.DUMMYFUNCTION("IF(C481="""","""",ROUND(XLOOKUP(C481, FLATTEN(B$1:E480), FLATTEN(O$1:R480), 500, 0, -1)))"),"")</f>
        <v/>
      </c>
      <c r="I481" s="9" t="str">
        <f>IFERROR(__xludf.DUMMYFUNCTION("IF(D481="""","""",ROUND(XLOOKUP(D481, FLATTEN(B$1:E480), FLATTEN(O$1:R480), 500, 0, -1)))"),"")</f>
        <v/>
      </c>
      <c r="J481" s="9" t="str">
        <f>IFERROR(__xludf.DUMMYFUNCTION("IF(E481="""","""",ROUND(XLOOKUP(E481, FLATTEN(B$1:E480), FLATTEN(O$1:R480), 500, 0, -1)))"),"")</f>
        <v/>
      </c>
      <c r="K481" s="9" t="str">
        <f t="shared" si="2"/>
        <v/>
      </c>
      <c r="L481" s="9" t="str">
        <f t="shared" si="3"/>
        <v/>
      </c>
      <c r="M481" s="32" t="str">
        <f t="shared" si="4"/>
        <v/>
      </c>
      <c r="N481" s="9" t="str">
        <f t="shared" si="5"/>
        <v/>
      </c>
      <c r="O481" s="9" t="str">
        <f t="shared" si="6"/>
        <v/>
      </c>
      <c r="P481" s="9" t="str">
        <f t="shared" si="7"/>
        <v/>
      </c>
      <c r="Q481" s="9" t="str">
        <f t="shared" si="8"/>
        <v/>
      </c>
      <c r="R481" s="9" t="str">
        <f t="shared" si="9"/>
        <v/>
      </c>
    </row>
    <row r="482">
      <c r="A482" s="1" t="str">
        <f t="shared" si="1"/>
        <v/>
      </c>
      <c r="G482" s="9" t="str">
        <f>IFERROR(__xludf.DUMMYFUNCTION("IF(B482="""","""",ROUND(XLOOKUP(B482, FLATTEN(B$1:E481), FLATTEN(O$1:R481), 500, 0, -1)))"),"")</f>
        <v/>
      </c>
      <c r="H482" s="9" t="str">
        <f>IFERROR(__xludf.DUMMYFUNCTION("IF(C482="""","""",ROUND(XLOOKUP(C482, FLATTEN(B$1:E481), FLATTEN(O$1:R481), 500, 0, -1)))"),"")</f>
        <v/>
      </c>
      <c r="I482" s="9" t="str">
        <f>IFERROR(__xludf.DUMMYFUNCTION("IF(D482="""","""",ROUND(XLOOKUP(D482, FLATTEN(B$1:E481), FLATTEN(O$1:R481), 500, 0, -1)))"),"")</f>
        <v/>
      </c>
      <c r="J482" s="9" t="str">
        <f>IFERROR(__xludf.DUMMYFUNCTION("IF(E482="""","""",ROUND(XLOOKUP(E482, FLATTEN(B$1:E481), FLATTEN(O$1:R481), 500, 0, -1)))"),"")</f>
        <v/>
      </c>
      <c r="K482" s="9" t="str">
        <f t="shared" si="2"/>
        <v/>
      </c>
      <c r="L482" s="9" t="str">
        <f t="shared" si="3"/>
        <v/>
      </c>
      <c r="M482" s="32" t="str">
        <f t="shared" si="4"/>
        <v/>
      </c>
      <c r="N482" s="9" t="str">
        <f t="shared" si="5"/>
        <v/>
      </c>
      <c r="O482" s="9" t="str">
        <f t="shared" si="6"/>
        <v/>
      </c>
      <c r="P482" s="9" t="str">
        <f t="shared" si="7"/>
        <v/>
      </c>
      <c r="Q482" s="9" t="str">
        <f t="shared" si="8"/>
        <v/>
      </c>
      <c r="R482" s="9" t="str">
        <f t="shared" si="9"/>
        <v/>
      </c>
    </row>
    <row r="483">
      <c r="A483" s="1" t="str">
        <f t="shared" si="1"/>
        <v/>
      </c>
      <c r="G483" s="9" t="str">
        <f>IFERROR(__xludf.DUMMYFUNCTION("IF(B483="""","""",ROUND(XLOOKUP(B483, FLATTEN(B$1:E482), FLATTEN(O$1:R482), 500, 0, -1)))"),"")</f>
        <v/>
      </c>
      <c r="H483" s="9" t="str">
        <f>IFERROR(__xludf.DUMMYFUNCTION("IF(C483="""","""",ROUND(XLOOKUP(C483, FLATTEN(B$1:E482), FLATTEN(O$1:R482), 500, 0, -1)))"),"")</f>
        <v/>
      </c>
      <c r="I483" s="9" t="str">
        <f>IFERROR(__xludf.DUMMYFUNCTION("IF(D483="""","""",ROUND(XLOOKUP(D483, FLATTEN(B$1:E482), FLATTEN(O$1:R482), 500, 0, -1)))"),"")</f>
        <v/>
      </c>
      <c r="J483" s="9" t="str">
        <f>IFERROR(__xludf.DUMMYFUNCTION("IF(E483="""","""",ROUND(XLOOKUP(E483, FLATTEN(B$1:E482), FLATTEN(O$1:R482), 500, 0, -1)))"),"")</f>
        <v/>
      </c>
      <c r="K483" s="9" t="str">
        <f t="shared" si="2"/>
        <v/>
      </c>
      <c r="L483" s="9" t="str">
        <f t="shared" si="3"/>
        <v/>
      </c>
      <c r="M483" s="32" t="str">
        <f t="shared" si="4"/>
        <v/>
      </c>
      <c r="N483" s="9" t="str">
        <f t="shared" si="5"/>
        <v/>
      </c>
      <c r="O483" s="9" t="str">
        <f t="shared" si="6"/>
        <v/>
      </c>
      <c r="P483" s="9" t="str">
        <f t="shared" si="7"/>
        <v/>
      </c>
      <c r="Q483" s="9" t="str">
        <f t="shared" si="8"/>
        <v/>
      </c>
      <c r="R483" s="9" t="str">
        <f t="shared" si="9"/>
        <v/>
      </c>
    </row>
    <row r="484">
      <c r="A484" s="1" t="str">
        <f t="shared" si="1"/>
        <v/>
      </c>
      <c r="G484" s="9" t="str">
        <f>IFERROR(__xludf.DUMMYFUNCTION("IF(B484="""","""",ROUND(XLOOKUP(B484, FLATTEN(B$1:E483), FLATTEN(O$1:R483), 500, 0, -1)))"),"")</f>
        <v/>
      </c>
      <c r="H484" s="9" t="str">
        <f>IFERROR(__xludf.DUMMYFUNCTION("IF(C484="""","""",ROUND(XLOOKUP(C484, FLATTEN(B$1:E483), FLATTEN(O$1:R483), 500, 0, -1)))"),"")</f>
        <v/>
      </c>
      <c r="I484" s="9" t="str">
        <f>IFERROR(__xludf.DUMMYFUNCTION("IF(D484="""","""",ROUND(XLOOKUP(D484, FLATTEN(B$1:E483), FLATTEN(O$1:R483), 500, 0, -1)))"),"")</f>
        <v/>
      </c>
      <c r="J484" s="9" t="str">
        <f>IFERROR(__xludf.DUMMYFUNCTION("IF(E484="""","""",ROUND(XLOOKUP(E484, FLATTEN(B$1:E483), FLATTEN(O$1:R483), 500, 0, -1)))"),"")</f>
        <v/>
      </c>
      <c r="K484" s="9" t="str">
        <f t="shared" si="2"/>
        <v/>
      </c>
      <c r="L484" s="9" t="str">
        <f t="shared" si="3"/>
        <v/>
      </c>
      <c r="M484" s="32" t="str">
        <f t="shared" si="4"/>
        <v/>
      </c>
      <c r="N484" s="9" t="str">
        <f t="shared" si="5"/>
        <v/>
      </c>
      <c r="O484" s="9" t="str">
        <f t="shared" si="6"/>
        <v/>
      </c>
      <c r="P484" s="9" t="str">
        <f t="shared" si="7"/>
        <v/>
      </c>
      <c r="Q484" s="9" t="str">
        <f t="shared" si="8"/>
        <v/>
      </c>
      <c r="R484" s="9" t="str">
        <f t="shared" si="9"/>
        <v/>
      </c>
    </row>
    <row r="485">
      <c r="A485" s="1" t="str">
        <f t="shared" si="1"/>
        <v/>
      </c>
      <c r="G485" s="9" t="str">
        <f>IFERROR(__xludf.DUMMYFUNCTION("IF(B485="""","""",ROUND(XLOOKUP(B485, FLATTEN(B$1:E484), FLATTEN(O$1:R484), 500, 0, -1)))"),"")</f>
        <v/>
      </c>
      <c r="H485" s="9" t="str">
        <f>IFERROR(__xludf.DUMMYFUNCTION("IF(C485="""","""",ROUND(XLOOKUP(C485, FLATTEN(B$1:E484), FLATTEN(O$1:R484), 500, 0, -1)))"),"")</f>
        <v/>
      </c>
      <c r="I485" s="9" t="str">
        <f>IFERROR(__xludf.DUMMYFUNCTION("IF(D485="""","""",ROUND(XLOOKUP(D485, FLATTEN(B$1:E484), FLATTEN(O$1:R484), 500, 0, -1)))"),"")</f>
        <v/>
      </c>
      <c r="J485" s="9" t="str">
        <f>IFERROR(__xludf.DUMMYFUNCTION("IF(E485="""","""",ROUND(XLOOKUP(E485, FLATTEN(B$1:E484), FLATTEN(O$1:R484), 500, 0, -1)))"),"")</f>
        <v/>
      </c>
      <c r="K485" s="9" t="str">
        <f t="shared" si="2"/>
        <v/>
      </c>
      <c r="L485" s="9" t="str">
        <f t="shared" si="3"/>
        <v/>
      </c>
      <c r="M485" s="32" t="str">
        <f t="shared" si="4"/>
        <v/>
      </c>
      <c r="N485" s="9" t="str">
        <f t="shared" si="5"/>
        <v/>
      </c>
      <c r="O485" s="9" t="str">
        <f t="shared" si="6"/>
        <v/>
      </c>
      <c r="P485" s="9" t="str">
        <f t="shared" si="7"/>
        <v/>
      </c>
      <c r="Q485" s="9" t="str">
        <f t="shared" si="8"/>
        <v/>
      </c>
      <c r="R485" s="9" t="str">
        <f t="shared" si="9"/>
        <v/>
      </c>
    </row>
    <row r="486">
      <c r="A486" s="1" t="str">
        <f t="shared" si="1"/>
        <v/>
      </c>
      <c r="G486" s="9" t="str">
        <f>IFERROR(__xludf.DUMMYFUNCTION("IF(B486="""","""",ROUND(XLOOKUP(B486, FLATTEN(B$1:E485), FLATTEN(O$1:R485), 500, 0, -1)))"),"")</f>
        <v/>
      </c>
      <c r="H486" s="9" t="str">
        <f>IFERROR(__xludf.DUMMYFUNCTION("IF(C486="""","""",ROUND(XLOOKUP(C486, FLATTEN(B$1:E485), FLATTEN(O$1:R485), 500, 0, -1)))"),"")</f>
        <v/>
      </c>
      <c r="I486" s="9" t="str">
        <f>IFERROR(__xludf.DUMMYFUNCTION("IF(D486="""","""",ROUND(XLOOKUP(D486, FLATTEN(B$1:E485), FLATTEN(O$1:R485), 500, 0, -1)))"),"")</f>
        <v/>
      </c>
      <c r="J486" s="9" t="str">
        <f>IFERROR(__xludf.DUMMYFUNCTION("IF(E486="""","""",ROUND(XLOOKUP(E486, FLATTEN(B$1:E485), FLATTEN(O$1:R485), 500, 0, -1)))"),"")</f>
        <v/>
      </c>
      <c r="K486" s="9" t="str">
        <f t="shared" si="2"/>
        <v/>
      </c>
      <c r="L486" s="9" t="str">
        <f t="shared" si="3"/>
        <v/>
      </c>
      <c r="M486" s="32" t="str">
        <f t="shared" si="4"/>
        <v/>
      </c>
      <c r="N486" s="9" t="str">
        <f t="shared" si="5"/>
        <v/>
      </c>
      <c r="O486" s="9" t="str">
        <f t="shared" si="6"/>
        <v/>
      </c>
      <c r="P486" s="9" t="str">
        <f t="shared" si="7"/>
        <v/>
      </c>
      <c r="Q486" s="9" t="str">
        <f t="shared" si="8"/>
        <v/>
      </c>
      <c r="R486" s="9" t="str">
        <f t="shared" si="9"/>
        <v/>
      </c>
    </row>
    <row r="487">
      <c r="A487" s="1" t="str">
        <f t="shared" si="1"/>
        <v/>
      </c>
      <c r="G487" s="9" t="str">
        <f>IFERROR(__xludf.DUMMYFUNCTION("IF(B487="""","""",ROUND(XLOOKUP(B487, FLATTEN(B$1:E486), FLATTEN(O$1:R486), 500, 0, -1)))"),"")</f>
        <v/>
      </c>
      <c r="H487" s="9" t="str">
        <f>IFERROR(__xludf.DUMMYFUNCTION("IF(C487="""","""",ROUND(XLOOKUP(C487, FLATTEN(B$1:E486), FLATTEN(O$1:R486), 500, 0, -1)))"),"")</f>
        <v/>
      </c>
      <c r="I487" s="9" t="str">
        <f>IFERROR(__xludf.DUMMYFUNCTION("IF(D487="""","""",ROUND(XLOOKUP(D487, FLATTEN(B$1:E486), FLATTEN(O$1:R486), 500, 0, -1)))"),"")</f>
        <v/>
      </c>
      <c r="J487" s="9" t="str">
        <f>IFERROR(__xludf.DUMMYFUNCTION("IF(E487="""","""",ROUND(XLOOKUP(E487, FLATTEN(B$1:E486), FLATTEN(O$1:R486), 500, 0, -1)))"),"")</f>
        <v/>
      </c>
      <c r="K487" s="9" t="str">
        <f t="shared" si="2"/>
        <v/>
      </c>
      <c r="L487" s="9" t="str">
        <f t="shared" si="3"/>
        <v/>
      </c>
      <c r="M487" s="32" t="str">
        <f t="shared" si="4"/>
        <v/>
      </c>
      <c r="N487" s="9" t="str">
        <f t="shared" si="5"/>
        <v/>
      </c>
      <c r="O487" s="9" t="str">
        <f t="shared" si="6"/>
        <v/>
      </c>
      <c r="P487" s="9" t="str">
        <f t="shared" si="7"/>
        <v/>
      </c>
      <c r="Q487" s="9" t="str">
        <f t="shared" si="8"/>
        <v/>
      </c>
      <c r="R487" s="9" t="str">
        <f t="shared" si="9"/>
        <v/>
      </c>
    </row>
    <row r="488">
      <c r="A488" s="1" t="str">
        <f t="shared" si="1"/>
        <v/>
      </c>
      <c r="G488" s="9" t="str">
        <f>IFERROR(__xludf.DUMMYFUNCTION("IF(B488="""","""",ROUND(XLOOKUP(B488, FLATTEN(B$1:E487), FLATTEN(O$1:R487), 500, 0, -1)))"),"")</f>
        <v/>
      </c>
      <c r="H488" s="9" t="str">
        <f>IFERROR(__xludf.DUMMYFUNCTION("IF(C488="""","""",ROUND(XLOOKUP(C488, FLATTEN(B$1:E487), FLATTEN(O$1:R487), 500, 0, -1)))"),"")</f>
        <v/>
      </c>
      <c r="I488" s="9" t="str">
        <f>IFERROR(__xludf.DUMMYFUNCTION("IF(D488="""","""",ROUND(XLOOKUP(D488, FLATTEN(B$1:E487), FLATTEN(O$1:R487), 500, 0, -1)))"),"")</f>
        <v/>
      </c>
      <c r="J488" s="9" t="str">
        <f>IFERROR(__xludf.DUMMYFUNCTION("IF(E488="""","""",ROUND(XLOOKUP(E488, FLATTEN(B$1:E487), FLATTEN(O$1:R487), 500, 0, -1)))"),"")</f>
        <v/>
      </c>
      <c r="K488" s="9" t="str">
        <f t="shared" si="2"/>
        <v/>
      </c>
      <c r="L488" s="9" t="str">
        <f t="shared" si="3"/>
        <v/>
      </c>
      <c r="M488" s="32" t="str">
        <f t="shared" si="4"/>
        <v/>
      </c>
      <c r="N488" s="9" t="str">
        <f t="shared" si="5"/>
        <v/>
      </c>
      <c r="O488" s="9" t="str">
        <f t="shared" si="6"/>
        <v/>
      </c>
      <c r="P488" s="9" t="str">
        <f t="shared" si="7"/>
        <v/>
      </c>
      <c r="Q488" s="9" t="str">
        <f t="shared" si="8"/>
        <v/>
      </c>
      <c r="R488" s="9" t="str">
        <f t="shared" si="9"/>
        <v/>
      </c>
    </row>
    <row r="489">
      <c r="A489" s="1" t="str">
        <f t="shared" si="1"/>
        <v/>
      </c>
      <c r="G489" s="9" t="str">
        <f>IFERROR(__xludf.DUMMYFUNCTION("IF(B489="""","""",ROUND(XLOOKUP(B489, FLATTEN(B$1:E488), FLATTEN(O$1:R488), 500, 0, -1)))"),"")</f>
        <v/>
      </c>
      <c r="H489" s="9" t="str">
        <f>IFERROR(__xludf.DUMMYFUNCTION("IF(C489="""","""",ROUND(XLOOKUP(C489, FLATTEN(B$1:E488), FLATTEN(O$1:R488), 500, 0, -1)))"),"")</f>
        <v/>
      </c>
      <c r="I489" s="9" t="str">
        <f>IFERROR(__xludf.DUMMYFUNCTION("IF(D489="""","""",ROUND(XLOOKUP(D489, FLATTEN(B$1:E488), FLATTEN(O$1:R488), 500, 0, -1)))"),"")</f>
        <v/>
      </c>
      <c r="J489" s="9" t="str">
        <f>IFERROR(__xludf.DUMMYFUNCTION("IF(E489="""","""",ROUND(XLOOKUP(E489, FLATTEN(B$1:E488), FLATTEN(O$1:R488), 500, 0, -1)))"),"")</f>
        <v/>
      </c>
      <c r="K489" s="9" t="str">
        <f t="shared" si="2"/>
        <v/>
      </c>
      <c r="L489" s="9" t="str">
        <f t="shared" si="3"/>
        <v/>
      </c>
      <c r="M489" s="32" t="str">
        <f t="shared" si="4"/>
        <v/>
      </c>
      <c r="N489" s="9" t="str">
        <f t="shared" si="5"/>
        <v/>
      </c>
      <c r="O489" s="9" t="str">
        <f t="shared" si="6"/>
        <v/>
      </c>
      <c r="P489" s="9" t="str">
        <f t="shared" si="7"/>
        <v/>
      </c>
      <c r="Q489" s="9" t="str">
        <f t="shared" si="8"/>
        <v/>
      </c>
      <c r="R489" s="9" t="str">
        <f t="shared" si="9"/>
        <v/>
      </c>
    </row>
    <row r="490">
      <c r="A490" s="1" t="str">
        <f t="shared" si="1"/>
        <v/>
      </c>
      <c r="G490" s="9" t="str">
        <f>IFERROR(__xludf.DUMMYFUNCTION("IF(B490="""","""",ROUND(XLOOKUP(B490, FLATTEN(B$1:E489), FLATTEN(O$1:R489), 500, 0, -1)))"),"")</f>
        <v/>
      </c>
      <c r="H490" s="9" t="str">
        <f>IFERROR(__xludf.DUMMYFUNCTION("IF(C490="""","""",ROUND(XLOOKUP(C490, FLATTEN(B$1:E489), FLATTEN(O$1:R489), 500, 0, -1)))"),"")</f>
        <v/>
      </c>
      <c r="I490" s="9" t="str">
        <f>IFERROR(__xludf.DUMMYFUNCTION("IF(D490="""","""",ROUND(XLOOKUP(D490, FLATTEN(B$1:E489), FLATTEN(O$1:R489), 500, 0, -1)))"),"")</f>
        <v/>
      </c>
      <c r="J490" s="9" t="str">
        <f>IFERROR(__xludf.DUMMYFUNCTION("IF(E490="""","""",ROUND(XLOOKUP(E490, FLATTEN(B$1:E489), FLATTEN(O$1:R489), 500, 0, -1)))"),"")</f>
        <v/>
      </c>
      <c r="K490" s="9" t="str">
        <f t="shared" si="2"/>
        <v/>
      </c>
      <c r="L490" s="9" t="str">
        <f t="shared" si="3"/>
        <v/>
      </c>
      <c r="M490" s="32" t="str">
        <f t="shared" si="4"/>
        <v/>
      </c>
      <c r="N490" s="9" t="str">
        <f t="shared" si="5"/>
        <v/>
      </c>
      <c r="O490" s="9" t="str">
        <f t="shared" si="6"/>
        <v/>
      </c>
      <c r="P490" s="9" t="str">
        <f t="shared" si="7"/>
        <v/>
      </c>
      <c r="Q490" s="9" t="str">
        <f t="shared" si="8"/>
        <v/>
      </c>
      <c r="R490" s="9" t="str">
        <f t="shared" si="9"/>
        <v/>
      </c>
    </row>
    <row r="491">
      <c r="A491" s="1" t="str">
        <f t="shared" si="1"/>
        <v/>
      </c>
      <c r="G491" s="9" t="str">
        <f>IFERROR(__xludf.DUMMYFUNCTION("IF(B491="""","""",ROUND(XLOOKUP(B491, FLATTEN(B$1:E490), FLATTEN(O$1:R490), 500, 0, -1)))"),"")</f>
        <v/>
      </c>
      <c r="H491" s="9" t="str">
        <f>IFERROR(__xludf.DUMMYFUNCTION("IF(C491="""","""",ROUND(XLOOKUP(C491, FLATTEN(B$1:E490), FLATTEN(O$1:R490), 500, 0, -1)))"),"")</f>
        <v/>
      </c>
      <c r="I491" s="9" t="str">
        <f>IFERROR(__xludf.DUMMYFUNCTION("IF(D491="""","""",ROUND(XLOOKUP(D491, FLATTEN(B$1:E490), FLATTEN(O$1:R490), 500, 0, -1)))"),"")</f>
        <v/>
      </c>
      <c r="J491" s="9" t="str">
        <f>IFERROR(__xludf.DUMMYFUNCTION("IF(E491="""","""",ROUND(XLOOKUP(E491, FLATTEN(B$1:E490), FLATTEN(O$1:R490), 500, 0, -1)))"),"")</f>
        <v/>
      </c>
      <c r="K491" s="9" t="str">
        <f t="shared" si="2"/>
        <v/>
      </c>
      <c r="L491" s="9" t="str">
        <f t="shared" si="3"/>
        <v/>
      </c>
      <c r="M491" s="32" t="str">
        <f t="shared" si="4"/>
        <v/>
      </c>
      <c r="N491" s="9" t="str">
        <f t="shared" si="5"/>
        <v/>
      </c>
      <c r="O491" s="9" t="str">
        <f t="shared" si="6"/>
        <v/>
      </c>
      <c r="P491" s="9" t="str">
        <f t="shared" si="7"/>
        <v/>
      </c>
      <c r="Q491" s="9" t="str">
        <f t="shared" si="8"/>
        <v/>
      </c>
      <c r="R491" s="9" t="str">
        <f t="shared" si="9"/>
        <v/>
      </c>
    </row>
    <row r="492">
      <c r="A492" s="1" t="str">
        <f t="shared" si="1"/>
        <v/>
      </c>
      <c r="G492" s="9" t="str">
        <f>IFERROR(__xludf.DUMMYFUNCTION("IF(B492="""","""",ROUND(XLOOKUP(B492, FLATTEN(B$1:E491), FLATTEN(O$1:R491), 500, 0, -1)))"),"")</f>
        <v/>
      </c>
      <c r="H492" s="9" t="str">
        <f>IFERROR(__xludf.DUMMYFUNCTION("IF(C492="""","""",ROUND(XLOOKUP(C492, FLATTEN(B$1:E491), FLATTEN(O$1:R491), 500, 0, -1)))"),"")</f>
        <v/>
      </c>
      <c r="I492" s="9" t="str">
        <f>IFERROR(__xludf.DUMMYFUNCTION("IF(D492="""","""",ROUND(XLOOKUP(D492, FLATTEN(B$1:E491), FLATTEN(O$1:R491), 500, 0, -1)))"),"")</f>
        <v/>
      </c>
      <c r="J492" s="9" t="str">
        <f>IFERROR(__xludf.DUMMYFUNCTION("IF(E492="""","""",ROUND(XLOOKUP(E492, FLATTEN(B$1:E491), FLATTEN(O$1:R491), 500, 0, -1)))"),"")</f>
        <v/>
      </c>
      <c r="K492" s="9" t="str">
        <f t="shared" si="2"/>
        <v/>
      </c>
      <c r="L492" s="9" t="str">
        <f t="shared" si="3"/>
        <v/>
      </c>
      <c r="M492" s="32" t="str">
        <f t="shared" si="4"/>
        <v/>
      </c>
      <c r="N492" s="9" t="str">
        <f t="shared" si="5"/>
        <v/>
      </c>
      <c r="O492" s="9" t="str">
        <f t="shared" si="6"/>
        <v/>
      </c>
      <c r="P492" s="9" t="str">
        <f t="shared" si="7"/>
        <v/>
      </c>
      <c r="Q492" s="9" t="str">
        <f t="shared" si="8"/>
        <v/>
      </c>
      <c r="R492" s="9" t="str">
        <f t="shared" si="9"/>
        <v/>
      </c>
    </row>
    <row r="493">
      <c r="A493" s="1" t="str">
        <f t="shared" si="1"/>
        <v/>
      </c>
      <c r="G493" s="9" t="str">
        <f>IFERROR(__xludf.DUMMYFUNCTION("IF(B493="""","""",ROUND(XLOOKUP(B493, FLATTEN(B$1:E492), FLATTEN(O$1:R492), 500, 0, -1)))"),"")</f>
        <v/>
      </c>
      <c r="H493" s="9" t="str">
        <f>IFERROR(__xludf.DUMMYFUNCTION("IF(C493="""","""",ROUND(XLOOKUP(C493, FLATTEN(B$1:E492), FLATTEN(O$1:R492), 500, 0, -1)))"),"")</f>
        <v/>
      </c>
      <c r="I493" s="9" t="str">
        <f>IFERROR(__xludf.DUMMYFUNCTION("IF(D493="""","""",ROUND(XLOOKUP(D493, FLATTEN(B$1:E492), FLATTEN(O$1:R492), 500, 0, -1)))"),"")</f>
        <v/>
      </c>
      <c r="J493" s="9" t="str">
        <f>IFERROR(__xludf.DUMMYFUNCTION("IF(E493="""","""",ROUND(XLOOKUP(E493, FLATTEN(B$1:E492), FLATTEN(O$1:R492), 500, 0, -1)))"),"")</f>
        <v/>
      </c>
      <c r="K493" s="9" t="str">
        <f t="shared" si="2"/>
        <v/>
      </c>
      <c r="L493" s="9" t="str">
        <f t="shared" si="3"/>
        <v/>
      </c>
      <c r="M493" s="32" t="str">
        <f t="shared" si="4"/>
        <v/>
      </c>
      <c r="N493" s="9" t="str">
        <f t="shared" si="5"/>
        <v/>
      </c>
      <c r="O493" s="9" t="str">
        <f t="shared" si="6"/>
        <v/>
      </c>
      <c r="P493" s="9" t="str">
        <f t="shared" si="7"/>
        <v/>
      </c>
      <c r="Q493" s="9" t="str">
        <f t="shared" si="8"/>
        <v/>
      </c>
      <c r="R493" s="9" t="str">
        <f t="shared" si="9"/>
        <v/>
      </c>
    </row>
    <row r="494">
      <c r="A494" s="1" t="str">
        <f t="shared" si="1"/>
        <v/>
      </c>
      <c r="G494" s="9" t="str">
        <f>IFERROR(__xludf.DUMMYFUNCTION("IF(B494="""","""",ROUND(XLOOKUP(B494, FLATTEN(B$1:E493), FLATTEN(O$1:R493), 500, 0, -1)))"),"")</f>
        <v/>
      </c>
      <c r="H494" s="9" t="str">
        <f>IFERROR(__xludf.DUMMYFUNCTION("IF(C494="""","""",ROUND(XLOOKUP(C494, FLATTEN(B$1:E493), FLATTEN(O$1:R493), 500, 0, -1)))"),"")</f>
        <v/>
      </c>
      <c r="I494" s="9" t="str">
        <f>IFERROR(__xludf.DUMMYFUNCTION("IF(D494="""","""",ROUND(XLOOKUP(D494, FLATTEN(B$1:E493), FLATTEN(O$1:R493), 500, 0, -1)))"),"")</f>
        <v/>
      </c>
      <c r="J494" s="9" t="str">
        <f>IFERROR(__xludf.DUMMYFUNCTION("IF(E494="""","""",ROUND(XLOOKUP(E494, FLATTEN(B$1:E493), FLATTEN(O$1:R493), 500, 0, -1)))"),"")</f>
        <v/>
      </c>
      <c r="K494" s="9" t="str">
        <f t="shared" si="2"/>
        <v/>
      </c>
      <c r="L494" s="9" t="str">
        <f t="shared" si="3"/>
        <v/>
      </c>
      <c r="M494" s="32" t="str">
        <f t="shared" si="4"/>
        <v/>
      </c>
      <c r="N494" s="9" t="str">
        <f t="shared" si="5"/>
        <v/>
      </c>
      <c r="O494" s="9" t="str">
        <f t="shared" si="6"/>
        <v/>
      </c>
      <c r="P494" s="9" t="str">
        <f t="shared" si="7"/>
        <v/>
      </c>
      <c r="Q494" s="9" t="str">
        <f t="shared" si="8"/>
        <v/>
      </c>
      <c r="R494" s="9" t="str">
        <f t="shared" si="9"/>
        <v/>
      </c>
    </row>
    <row r="495">
      <c r="A495" s="1" t="str">
        <f t="shared" si="1"/>
        <v/>
      </c>
      <c r="G495" s="9" t="str">
        <f>IFERROR(__xludf.DUMMYFUNCTION("IF(B495="""","""",ROUND(XLOOKUP(B495, FLATTEN(B$1:E494), FLATTEN(O$1:R494), 500, 0, -1)))"),"")</f>
        <v/>
      </c>
      <c r="H495" s="9" t="str">
        <f>IFERROR(__xludf.DUMMYFUNCTION("IF(C495="""","""",ROUND(XLOOKUP(C495, FLATTEN(B$1:E494), FLATTEN(O$1:R494), 500, 0, -1)))"),"")</f>
        <v/>
      </c>
      <c r="I495" s="9" t="str">
        <f>IFERROR(__xludf.DUMMYFUNCTION("IF(D495="""","""",ROUND(XLOOKUP(D495, FLATTEN(B$1:E494), FLATTEN(O$1:R494), 500, 0, -1)))"),"")</f>
        <v/>
      </c>
      <c r="J495" s="9" t="str">
        <f>IFERROR(__xludf.DUMMYFUNCTION("IF(E495="""","""",ROUND(XLOOKUP(E495, FLATTEN(B$1:E494), FLATTEN(O$1:R494), 500, 0, -1)))"),"")</f>
        <v/>
      </c>
      <c r="K495" s="9" t="str">
        <f t="shared" si="2"/>
        <v/>
      </c>
      <c r="L495" s="9" t="str">
        <f t="shared" si="3"/>
        <v/>
      </c>
      <c r="M495" s="32" t="str">
        <f t="shared" si="4"/>
        <v/>
      </c>
      <c r="N495" s="9" t="str">
        <f t="shared" si="5"/>
        <v/>
      </c>
      <c r="O495" s="9" t="str">
        <f t="shared" si="6"/>
        <v/>
      </c>
      <c r="P495" s="9" t="str">
        <f t="shared" si="7"/>
        <v/>
      </c>
      <c r="Q495" s="9" t="str">
        <f t="shared" si="8"/>
        <v/>
      </c>
      <c r="R495" s="9" t="str">
        <f t="shared" si="9"/>
        <v/>
      </c>
    </row>
    <row r="496">
      <c r="A496" s="1" t="str">
        <f t="shared" si="1"/>
        <v/>
      </c>
      <c r="G496" s="9" t="str">
        <f>IFERROR(__xludf.DUMMYFUNCTION("IF(B496="""","""",ROUND(XLOOKUP(B496, FLATTEN(B$1:E495), FLATTEN(O$1:R495), 500, 0, -1)))"),"")</f>
        <v/>
      </c>
      <c r="H496" s="9" t="str">
        <f>IFERROR(__xludf.DUMMYFUNCTION("IF(C496="""","""",ROUND(XLOOKUP(C496, FLATTEN(B$1:E495), FLATTEN(O$1:R495), 500, 0, -1)))"),"")</f>
        <v/>
      </c>
      <c r="I496" s="9" t="str">
        <f>IFERROR(__xludf.DUMMYFUNCTION("IF(D496="""","""",ROUND(XLOOKUP(D496, FLATTEN(B$1:E495), FLATTEN(O$1:R495), 500, 0, -1)))"),"")</f>
        <v/>
      </c>
      <c r="J496" s="9" t="str">
        <f>IFERROR(__xludf.DUMMYFUNCTION("IF(E496="""","""",ROUND(XLOOKUP(E496, FLATTEN(B$1:E495), FLATTEN(O$1:R495), 500, 0, -1)))"),"")</f>
        <v/>
      </c>
      <c r="K496" s="9" t="str">
        <f t="shared" si="2"/>
        <v/>
      </c>
      <c r="L496" s="9" t="str">
        <f t="shared" si="3"/>
        <v/>
      </c>
      <c r="M496" s="32" t="str">
        <f t="shared" si="4"/>
        <v/>
      </c>
      <c r="N496" s="9" t="str">
        <f t="shared" si="5"/>
        <v/>
      </c>
      <c r="O496" s="9" t="str">
        <f t="shared" si="6"/>
        <v/>
      </c>
      <c r="P496" s="9" t="str">
        <f t="shared" si="7"/>
        <v/>
      </c>
      <c r="Q496" s="9" t="str">
        <f t="shared" si="8"/>
        <v/>
      </c>
      <c r="R496" s="9" t="str">
        <f t="shared" si="9"/>
        <v/>
      </c>
    </row>
    <row r="497">
      <c r="A497" s="1" t="str">
        <f t="shared" si="1"/>
        <v/>
      </c>
      <c r="G497" s="9" t="str">
        <f>IFERROR(__xludf.DUMMYFUNCTION("IF(B497="""","""",ROUND(XLOOKUP(B497, FLATTEN(B$1:E496), FLATTEN(O$1:R496), 500, 0, -1)))"),"")</f>
        <v/>
      </c>
      <c r="H497" s="9" t="str">
        <f>IFERROR(__xludf.DUMMYFUNCTION("IF(C497="""","""",ROUND(XLOOKUP(C497, FLATTEN(B$1:E496), FLATTEN(O$1:R496), 500, 0, -1)))"),"")</f>
        <v/>
      </c>
      <c r="I497" s="9" t="str">
        <f>IFERROR(__xludf.DUMMYFUNCTION("IF(D497="""","""",ROUND(XLOOKUP(D497, FLATTEN(B$1:E496), FLATTEN(O$1:R496), 500, 0, -1)))"),"")</f>
        <v/>
      </c>
      <c r="J497" s="9" t="str">
        <f>IFERROR(__xludf.DUMMYFUNCTION("IF(E497="""","""",ROUND(XLOOKUP(E497, FLATTEN(B$1:E496), FLATTEN(O$1:R496), 500, 0, -1)))"),"")</f>
        <v/>
      </c>
      <c r="K497" s="9" t="str">
        <f t="shared" si="2"/>
        <v/>
      </c>
      <c r="L497" s="9" t="str">
        <f t="shared" si="3"/>
        <v/>
      </c>
      <c r="M497" s="32" t="str">
        <f t="shared" si="4"/>
        <v/>
      </c>
      <c r="N497" s="9" t="str">
        <f t="shared" si="5"/>
        <v/>
      </c>
      <c r="O497" s="9" t="str">
        <f t="shared" si="6"/>
        <v/>
      </c>
      <c r="P497" s="9" t="str">
        <f t="shared" si="7"/>
        <v/>
      </c>
      <c r="Q497" s="9" t="str">
        <f t="shared" si="8"/>
        <v/>
      </c>
      <c r="R497" s="9" t="str">
        <f t="shared" si="9"/>
        <v/>
      </c>
    </row>
    <row r="498">
      <c r="A498" s="1" t="str">
        <f t="shared" si="1"/>
        <v/>
      </c>
      <c r="G498" s="9" t="str">
        <f>IFERROR(__xludf.DUMMYFUNCTION("IF(B498="""","""",ROUND(XLOOKUP(B498, FLATTEN(B$1:E497), FLATTEN(O$1:R497), 500, 0, -1)))"),"")</f>
        <v/>
      </c>
      <c r="H498" s="9" t="str">
        <f>IFERROR(__xludf.DUMMYFUNCTION("IF(C498="""","""",ROUND(XLOOKUP(C498, FLATTEN(B$1:E497), FLATTEN(O$1:R497), 500, 0, -1)))"),"")</f>
        <v/>
      </c>
      <c r="I498" s="9" t="str">
        <f>IFERROR(__xludf.DUMMYFUNCTION("IF(D498="""","""",ROUND(XLOOKUP(D498, FLATTEN(B$1:E497), FLATTEN(O$1:R497), 500, 0, -1)))"),"")</f>
        <v/>
      </c>
      <c r="J498" s="9" t="str">
        <f>IFERROR(__xludf.DUMMYFUNCTION("IF(E498="""","""",ROUND(XLOOKUP(E498, FLATTEN(B$1:E497), FLATTEN(O$1:R497), 500, 0, -1)))"),"")</f>
        <v/>
      </c>
      <c r="K498" s="9" t="str">
        <f t="shared" si="2"/>
        <v/>
      </c>
      <c r="L498" s="9" t="str">
        <f t="shared" si="3"/>
        <v/>
      </c>
      <c r="M498" s="32" t="str">
        <f t="shared" si="4"/>
        <v/>
      </c>
      <c r="N498" s="9" t="str">
        <f t="shared" si="5"/>
        <v/>
      </c>
      <c r="O498" s="9" t="str">
        <f t="shared" si="6"/>
        <v/>
      </c>
      <c r="P498" s="9" t="str">
        <f t="shared" si="7"/>
        <v/>
      </c>
      <c r="Q498" s="9" t="str">
        <f t="shared" si="8"/>
        <v/>
      </c>
      <c r="R498" s="9" t="str">
        <f t="shared" si="9"/>
        <v/>
      </c>
    </row>
    <row r="499">
      <c r="A499" s="1" t="str">
        <f t="shared" si="1"/>
        <v/>
      </c>
      <c r="G499" s="9" t="str">
        <f>IFERROR(__xludf.DUMMYFUNCTION("IF(B499="""","""",ROUND(XLOOKUP(B499, FLATTEN(B$1:E498), FLATTEN(O$1:R498), 500, 0, -1)))"),"")</f>
        <v/>
      </c>
      <c r="H499" s="9" t="str">
        <f>IFERROR(__xludf.DUMMYFUNCTION("IF(C499="""","""",ROUND(XLOOKUP(C499, FLATTEN(B$1:E498), FLATTEN(O$1:R498), 500, 0, -1)))"),"")</f>
        <v/>
      </c>
      <c r="I499" s="9" t="str">
        <f>IFERROR(__xludf.DUMMYFUNCTION("IF(D499="""","""",ROUND(XLOOKUP(D499, FLATTEN(B$1:E498), FLATTEN(O$1:R498), 500, 0, -1)))"),"")</f>
        <v/>
      </c>
      <c r="J499" s="9" t="str">
        <f>IFERROR(__xludf.DUMMYFUNCTION("IF(E499="""","""",ROUND(XLOOKUP(E499, FLATTEN(B$1:E498), FLATTEN(O$1:R498), 500, 0, -1)))"),"")</f>
        <v/>
      </c>
      <c r="K499" s="9" t="str">
        <f t="shared" si="2"/>
        <v/>
      </c>
      <c r="L499" s="9" t="str">
        <f t="shared" si="3"/>
        <v/>
      </c>
      <c r="M499" s="32" t="str">
        <f t="shared" si="4"/>
        <v/>
      </c>
      <c r="N499" s="9" t="str">
        <f t="shared" si="5"/>
        <v/>
      </c>
      <c r="O499" s="9" t="str">
        <f t="shared" si="6"/>
        <v/>
      </c>
      <c r="P499" s="9" t="str">
        <f t="shared" si="7"/>
        <v/>
      </c>
      <c r="Q499" s="9" t="str">
        <f t="shared" si="8"/>
        <v/>
      </c>
      <c r="R499" s="9" t="str">
        <f t="shared" si="9"/>
        <v/>
      </c>
    </row>
    <row r="500">
      <c r="A500" s="1" t="str">
        <f t="shared" si="1"/>
        <v/>
      </c>
      <c r="G500" s="9" t="str">
        <f>IFERROR(__xludf.DUMMYFUNCTION("IF(B500="""","""",ROUND(XLOOKUP(B500, FLATTEN(B$1:E499), FLATTEN(O$1:R499), 500, 0, -1)))"),"")</f>
        <v/>
      </c>
      <c r="H500" s="9" t="str">
        <f>IFERROR(__xludf.DUMMYFUNCTION("IF(C500="""","""",ROUND(XLOOKUP(C500, FLATTEN(B$1:E499), FLATTEN(O$1:R499), 500, 0, -1)))"),"")</f>
        <v/>
      </c>
      <c r="I500" s="9" t="str">
        <f>IFERROR(__xludf.DUMMYFUNCTION("IF(D500="""","""",ROUND(XLOOKUP(D500, FLATTEN(B$1:E499), FLATTEN(O$1:R499), 500, 0, -1)))"),"")</f>
        <v/>
      </c>
      <c r="J500" s="9" t="str">
        <f>IFERROR(__xludf.DUMMYFUNCTION("IF(E500="""","""",ROUND(XLOOKUP(E500, FLATTEN(B$1:E499), FLATTEN(O$1:R499), 500, 0, -1)))"),"")</f>
        <v/>
      </c>
      <c r="K500" s="9" t="str">
        <f t="shared" si="2"/>
        <v/>
      </c>
      <c r="L500" s="9" t="str">
        <f t="shared" si="3"/>
        <v/>
      </c>
      <c r="M500" s="32" t="str">
        <f t="shared" si="4"/>
        <v/>
      </c>
      <c r="N500" s="9" t="str">
        <f t="shared" si="5"/>
        <v/>
      </c>
      <c r="O500" s="9" t="str">
        <f t="shared" si="6"/>
        <v/>
      </c>
      <c r="P500" s="9" t="str">
        <f t="shared" si="7"/>
        <v/>
      </c>
      <c r="Q500" s="9" t="str">
        <f t="shared" si="8"/>
        <v/>
      </c>
      <c r="R500" s="9" t="str">
        <f t="shared" si="9"/>
        <v/>
      </c>
    </row>
    <row r="501">
      <c r="B501" s="125"/>
      <c r="C501" s="125"/>
      <c r="D501" s="125"/>
      <c r="E501" s="125"/>
      <c r="G501" s="9"/>
      <c r="H501" s="9"/>
      <c r="I501" s="9"/>
      <c r="J501" s="9"/>
      <c r="K501" s="9"/>
      <c r="L501" s="9"/>
      <c r="M501" s="32"/>
      <c r="N501" s="9"/>
      <c r="O501" s="9"/>
      <c r="P501" s="9"/>
      <c r="Q501" s="9"/>
      <c r="R501" s="9"/>
    </row>
    <row r="502">
      <c r="B502" s="125"/>
      <c r="C502" s="125"/>
      <c r="D502" s="125"/>
      <c r="E502" s="125"/>
      <c r="G502" s="9"/>
      <c r="H502" s="9"/>
      <c r="I502" s="9"/>
      <c r="J502" s="9"/>
      <c r="K502" s="9"/>
      <c r="L502" s="9"/>
      <c r="M502" s="32"/>
      <c r="N502" s="9"/>
      <c r="O502" s="9"/>
      <c r="P502" s="9"/>
      <c r="Q502" s="9"/>
      <c r="R502" s="9"/>
    </row>
    <row r="503">
      <c r="B503" s="125"/>
      <c r="C503" s="125"/>
      <c r="D503" s="125"/>
      <c r="E503" s="125"/>
      <c r="G503" s="9"/>
      <c r="H503" s="9"/>
      <c r="I503" s="9"/>
      <c r="J503" s="9"/>
      <c r="K503" s="9"/>
      <c r="L503" s="9"/>
      <c r="M503" s="32"/>
      <c r="N503" s="9"/>
      <c r="O503" s="9"/>
      <c r="P503" s="9"/>
      <c r="Q503" s="9"/>
      <c r="R503" s="9"/>
    </row>
    <row r="504">
      <c r="B504" s="125"/>
      <c r="C504" s="125"/>
      <c r="D504" s="125"/>
      <c r="E504" s="125"/>
      <c r="G504" s="9"/>
      <c r="H504" s="9"/>
      <c r="I504" s="9"/>
      <c r="J504" s="9"/>
      <c r="K504" s="9"/>
      <c r="L504" s="9"/>
      <c r="M504" s="32"/>
      <c r="N504" s="9"/>
      <c r="O504" s="9"/>
      <c r="P504" s="9"/>
      <c r="Q504" s="9"/>
      <c r="R504" s="9"/>
    </row>
    <row r="505">
      <c r="B505" s="125"/>
      <c r="C505" s="125"/>
      <c r="D505" s="125"/>
      <c r="E505" s="125"/>
      <c r="G505" s="9"/>
      <c r="H505" s="9"/>
      <c r="I505" s="9"/>
      <c r="J505" s="9"/>
      <c r="K505" s="9"/>
      <c r="L505" s="9"/>
      <c r="M505" s="32"/>
      <c r="N505" s="9"/>
      <c r="O505" s="9"/>
      <c r="P505" s="9"/>
      <c r="Q505" s="9"/>
      <c r="R505" s="9"/>
    </row>
    <row r="506">
      <c r="B506" s="125"/>
      <c r="C506" s="125"/>
      <c r="D506" s="125"/>
      <c r="E506" s="125"/>
      <c r="G506" s="9"/>
      <c r="H506" s="9"/>
      <c r="I506" s="9"/>
      <c r="J506" s="9"/>
      <c r="K506" s="9"/>
      <c r="L506" s="9"/>
      <c r="M506" s="32"/>
      <c r="N506" s="9"/>
      <c r="O506" s="9"/>
      <c r="P506" s="9"/>
      <c r="Q506" s="9"/>
      <c r="R506" s="9"/>
    </row>
    <row r="507">
      <c r="B507" s="125"/>
      <c r="C507" s="125"/>
      <c r="D507" s="125"/>
      <c r="E507" s="125"/>
      <c r="G507" s="9"/>
      <c r="H507" s="9"/>
      <c r="I507" s="9"/>
      <c r="J507" s="9"/>
      <c r="K507" s="9"/>
      <c r="L507" s="9"/>
      <c r="M507" s="32"/>
      <c r="N507" s="9"/>
      <c r="O507" s="9"/>
      <c r="P507" s="9"/>
      <c r="Q507" s="9"/>
      <c r="R507" s="9"/>
    </row>
    <row r="508">
      <c r="B508" s="125"/>
      <c r="C508" s="125"/>
      <c r="D508" s="125"/>
      <c r="E508" s="125"/>
      <c r="G508" s="9"/>
      <c r="H508" s="9"/>
      <c r="I508" s="9"/>
      <c r="J508" s="9"/>
      <c r="K508" s="9"/>
      <c r="L508" s="9"/>
      <c r="M508" s="32"/>
      <c r="N508" s="9"/>
      <c r="O508" s="9"/>
      <c r="P508" s="9"/>
      <c r="Q508" s="9"/>
      <c r="R508" s="9"/>
    </row>
    <row r="509">
      <c r="B509" s="125"/>
      <c r="C509" s="125"/>
      <c r="D509" s="125"/>
      <c r="E509" s="125"/>
      <c r="G509" s="9"/>
      <c r="H509" s="9"/>
      <c r="I509" s="9"/>
      <c r="J509" s="9"/>
      <c r="K509" s="9"/>
      <c r="L509" s="9"/>
      <c r="M509" s="32"/>
      <c r="N509" s="9"/>
      <c r="O509" s="9"/>
      <c r="P509" s="9"/>
      <c r="Q509" s="9"/>
      <c r="R509" s="9"/>
    </row>
    <row r="510">
      <c r="B510" s="125"/>
      <c r="C510" s="125"/>
      <c r="D510" s="125"/>
      <c r="E510" s="125"/>
      <c r="G510" s="9"/>
      <c r="H510" s="9"/>
      <c r="I510" s="9"/>
      <c r="J510" s="9"/>
      <c r="K510" s="9"/>
      <c r="L510" s="9"/>
      <c r="M510" s="32"/>
      <c r="N510" s="9"/>
      <c r="O510" s="9"/>
      <c r="P510" s="9"/>
      <c r="Q510" s="9"/>
      <c r="R510" s="9"/>
    </row>
    <row r="511">
      <c r="B511" s="125"/>
      <c r="C511" s="125"/>
      <c r="D511" s="125"/>
      <c r="E511" s="125"/>
      <c r="G511" s="9"/>
      <c r="H511" s="9"/>
      <c r="I511" s="9"/>
      <c r="J511" s="9"/>
      <c r="K511" s="9"/>
      <c r="L511" s="9"/>
      <c r="M511" s="32"/>
      <c r="N511" s="9"/>
      <c r="O511" s="9"/>
      <c r="P511" s="9"/>
      <c r="Q511" s="9"/>
      <c r="R511" s="9"/>
    </row>
    <row r="512">
      <c r="B512" s="125"/>
      <c r="C512" s="125"/>
      <c r="D512" s="125"/>
      <c r="E512" s="125"/>
      <c r="G512" s="9"/>
      <c r="H512" s="9"/>
      <c r="I512" s="9"/>
      <c r="J512" s="9"/>
      <c r="K512" s="9"/>
      <c r="L512" s="9"/>
      <c r="M512" s="32"/>
      <c r="N512" s="9"/>
      <c r="O512" s="9"/>
      <c r="P512" s="9"/>
      <c r="Q512" s="9"/>
      <c r="R512" s="9"/>
    </row>
    <row r="513">
      <c r="B513" s="125"/>
      <c r="C513" s="125"/>
      <c r="D513" s="125"/>
      <c r="E513" s="125"/>
      <c r="G513" s="9"/>
      <c r="H513" s="9"/>
      <c r="I513" s="9"/>
      <c r="J513" s="9"/>
      <c r="K513" s="9"/>
      <c r="L513" s="9"/>
      <c r="M513" s="32"/>
      <c r="N513" s="9"/>
      <c r="O513" s="9"/>
      <c r="P513" s="9"/>
      <c r="Q513" s="9"/>
      <c r="R513" s="9"/>
    </row>
    <row r="514">
      <c r="B514" s="125"/>
      <c r="C514" s="125"/>
      <c r="D514" s="125"/>
      <c r="E514" s="125"/>
      <c r="G514" s="9"/>
      <c r="H514" s="9"/>
      <c r="I514" s="9"/>
      <c r="J514" s="9"/>
      <c r="K514" s="9"/>
      <c r="L514" s="9"/>
      <c r="M514" s="32"/>
      <c r="N514" s="9"/>
      <c r="O514" s="9"/>
      <c r="P514" s="9"/>
      <c r="Q514" s="9"/>
      <c r="R514" s="9"/>
    </row>
    <row r="515">
      <c r="B515" s="125"/>
      <c r="C515" s="125"/>
      <c r="D515" s="125"/>
      <c r="E515" s="125"/>
      <c r="G515" s="9"/>
      <c r="H515" s="9"/>
      <c r="I515" s="9"/>
      <c r="J515" s="9"/>
      <c r="K515" s="9"/>
      <c r="L515" s="9"/>
      <c r="M515" s="32"/>
      <c r="N515" s="9"/>
      <c r="O515" s="9"/>
      <c r="P515" s="9"/>
      <c r="Q515" s="9"/>
      <c r="R515" s="9"/>
    </row>
    <row r="516">
      <c r="B516" s="125"/>
      <c r="C516" s="125"/>
      <c r="D516" s="125"/>
      <c r="E516" s="125"/>
      <c r="G516" s="9"/>
      <c r="H516" s="9"/>
      <c r="I516" s="9"/>
      <c r="J516" s="9"/>
      <c r="K516" s="9"/>
      <c r="L516" s="9"/>
      <c r="M516" s="32"/>
      <c r="N516" s="9"/>
      <c r="O516" s="9"/>
      <c r="P516" s="9"/>
      <c r="Q516" s="9"/>
      <c r="R516" s="9"/>
    </row>
    <row r="517">
      <c r="B517" s="125"/>
      <c r="C517" s="125"/>
      <c r="D517" s="125"/>
      <c r="E517" s="125"/>
      <c r="G517" s="9"/>
      <c r="H517" s="9"/>
      <c r="I517" s="9"/>
      <c r="J517" s="9"/>
      <c r="K517" s="9"/>
      <c r="L517" s="9"/>
      <c r="M517" s="32"/>
      <c r="N517" s="9"/>
      <c r="O517" s="9"/>
      <c r="P517" s="9"/>
      <c r="Q517" s="9"/>
      <c r="R517" s="9"/>
    </row>
    <row r="518">
      <c r="B518" s="125"/>
      <c r="C518" s="125"/>
      <c r="D518" s="125"/>
      <c r="E518" s="125"/>
      <c r="G518" s="9"/>
      <c r="H518" s="9"/>
      <c r="I518" s="9"/>
      <c r="J518" s="9"/>
      <c r="K518" s="9"/>
      <c r="L518" s="9"/>
      <c r="M518" s="32"/>
      <c r="N518" s="9"/>
      <c r="O518" s="9"/>
      <c r="P518" s="9"/>
      <c r="Q518" s="9"/>
      <c r="R518" s="9"/>
    </row>
    <row r="519">
      <c r="B519" s="125"/>
      <c r="C519" s="125"/>
      <c r="D519" s="125"/>
      <c r="E519" s="125"/>
      <c r="G519" s="9"/>
      <c r="H519" s="9"/>
      <c r="I519" s="9"/>
      <c r="J519" s="9"/>
      <c r="K519" s="9"/>
      <c r="L519" s="9"/>
      <c r="M519" s="32"/>
      <c r="N519" s="9"/>
      <c r="O519" s="9"/>
      <c r="P519" s="9"/>
      <c r="Q519" s="9"/>
      <c r="R519" s="9"/>
    </row>
    <row r="520">
      <c r="B520" s="125"/>
      <c r="C520" s="125"/>
      <c r="D520" s="125"/>
      <c r="E520" s="125"/>
      <c r="G520" s="9"/>
      <c r="H520" s="9"/>
      <c r="I520" s="9"/>
      <c r="J520" s="9"/>
      <c r="K520" s="9"/>
      <c r="L520" s="9"/>
      <c r="M520" s="32"/>
      <c r="N520" s="9"/>
      <c r="O520" s="9"/>
      <c r="P520" s="9"/>
      <c r="Q520" s="9"/>
      <c r="R520" s="9"/>
    </row>
    <row r="521">
      <c r="B521" s="125"/>
      <c r="C521" s="125"/>
      <c r="D521" s="125"/>
      <c r="E521" s="125"/>
      <c r="G521" s="9"/>
      <c r="H521" s="9"/>
      <c r="I521" s="9"/>
      <c r="J521" s="9"/>
      <c r="K521" s="9"/>
      <c r="L521" s="9"/>
      <c r="M521" s="32"/>
      <c r="N521" s="9"/>
      <c r="O521" s="9"/>
      <c r="P521" s="9"/>
      <c r="Q521" s="9"/>
      <c r="R521" s="9"/>
    </row>
    <row r="522">
      <c r="B522" s="125"/>
      <c r="C522" s="125"/>
      <c r="D522" s="125"/>
      <c r="E522" s="125"/>
      <c r="G522" s="9"/>
      <c r="H522" s="9"/>
      <c r="I522" s="9"/>
      <c r="J522" s="9"/>
      <c r="K522" s="9"/>
      <c r="L522" s="9"/>
      <c r="M522" s="32"/>
      <c r="N522" s="9"/>
      <c r="O522" s="9"/>
      <c r="P522" s="9"/>
      <c r="Q522" s="9"/>
      <c r="R522" s="9"/>
    </row>
    <row r="523">
      <c r="B523" s="125"/>
      <c r="C523" s="125"/>
      <c r="D523" s="125"/>
      <c r="E523" s="125"/>
      <c r="G523" s="9"/>
      <c r="H523" s="9"/>
      <c r="I523" s="9"/>
      <c r="J523" s="9"/>
      <c r="K523" s="9"/>
      <c r="L523" s="9"/>
      <c r="M523" s="32"/>
      <c r="N523" s="9"/>
      <c r="O523" s="9"/>
      <c r="P523" s="9"/>
      <c r="Q523" s="9"/>
      <c r="R523" s="9"/>
    </row>
    <row r="524">
      <c r="B524" s="125"/>
      <c r="C524" s="125"/>
      <c r="D524" s="125"/>
      <c r="E524" s="125"/>
      <c r="G524" s="9"/>
      <c r="H524" s="9"/>
      <c r="I524" s="9"/>
      <c r="J524" s="9"/>
      <c r="K524" s="9"/>
      <c r="L524" s="9"/>
      <c r="M524" s="32"/>
      <c r="N524" s="9"/>
      <c r="O524" s="9"/>
      <c r="P524" s="9"/>
      <c r="Q524" s="9"/>
      <c r="R524" s="9"/>
    </row>
    <row r="525">
      <c r="B525" s="125"/>
      <c r="C525" s="125"/>
      <c r="D525" s="125"/>
      <c r="E525" s="125"/>
      <c r="G525" s="9"/>
      <c r="H525" s="9"/>
      <c r="I525" s="9"/>
      <c r="J525" s="9"/>
      <c r="K525" s="9"/>
      <c r="L525" s="9"/>
      <c r="M525" s="32"/>
      <c r="N525" s="9"/>
      <c r="O525" s="9"/>
      <c r="P525" s="9"/>
      <c r="Q525" s="9"/>
      <c r="R525" s="9"/>
    </row>
    <row r="526">
      <c r="B526" s="125"/>
      <c r="C526" s="125"/>
      <c r="D526" s="125"/>
      <c r="E526" s="125"/>
      <c r="G526" s="9"/>
      <c r="H526" s="9"/>
      <c r="I526" s="9"/>
      <c r="J526" s="9"/>
      <c r="K526" s="9"/>
      <c r="L526" s="9"/>
      <c r="M526" s="32"/>
      <c r="N526" s="9"/>
      <c r="O526" s="9"/>
      <c r="P526" s="9"/>
      <c r="Q526" s="9"/>
      <c r="R526" s="9"/>
    </row>
    <row r="527">
      <c r="B527" s="125"/>
      <c r="C527" s="125"/>
      <c r="D527" s="125"/>
      <c r="E527" s="125"/>
      <c r="G527" s="9"/>
      <c r="H527" s="9"/>
      <c r="I527" s="9"/>
      <c r="J527" s="9"/>
      <c r="K527" s="9"/>
      <c r="L527" s="9"/>
      <c r="M527" s="32"/>
      <c r="N527" s="9"/>
      <c r="O527" s="9"/>
      <c r="P527" s="9"/>
      <c r="Q527" s="9"/>
      <c r="R527" s="9"/>
    </row>
    <row r="528">
      <c r="B528" s="125"/>
      <c r="C528" s="125"/>
      <c r="D528" s="125"/>
      <c r="E528" s="125"/>
      <c r="G528" s="9"/>
      <c r="H528" s="9"/>
      <c r="I528" s="9"/>
      <c r="J528" s="9"/>
      <c r="K528" s="9"/>
      <c r="L528" s="9"/>
      <c r="M528" s="32"/>
      <c r="N528" s="9"/>
      <c r="O528" s="9"/>
      <c r="P528" s="9"/>
      <c r="Q528" s="9"/>
      <c r="R528" s="9"/>
    </row>
    <row r="529">
      <c r="B529" s="125"/>
      <c r="C529" s="125"/>
      <c r="D529" s="125"/>
      <c r="E529" s="125"/>
      <c r="G529" s="9"/>
      <c r="H529" s="9"/>
      <c r="I529" s="9"/>
      <c r="J529" s="9"/>
      <c r="K529" s="9"/>
      <c r="L529" s="9"/>
      <c r="M529" s="32"/>
      <c r="N529" s="9"/>
      <c r="O529" s="9"/>
      <c r="P529" s="9"/>
      <c r="Q529" s="9"/>
      <c r="R529" s="9"/>
    </row>
    <row r="530">
      <c r="B530" s="125"/>
      <c r="C530" s="125"/>
      <c r="D530" s="125"/>
      <c r="E530" s="125"/>
      <c r="G530" s="9"/>
      <c r="H530" s="9"/>
      <c r="I530" s="9"/>
      <c r="J530" s="9"/>
      <c r="K530" s="9"/>
      <c r="L530" s="9"/>
      <c r="M530" s="32"/>
      <c r="N530" s="9"/>
      <c r="O530" s="9"/>
      <c r="P530" s="9"/>
      <c r="Q530" s="9"/>
      <c r="R530" s="9"/>
    </row>
    <row r="531">
      <c r="B531" s="125"/>
      <c r="C531" s="125"/>
      <c r="D531" s="125"/>
      <c r="E531" s="125"/>
      <c r="G531" s="9"/>
      <c r="H531" s="9"/>
      <c r="I531" s="9"/>
      <c r="J531" s="9"/>
      <c r="K531" s="9"/>
      <c r="L531" s="9"/>
      <c r="M531" s="32"/>
      <c r="N531" s="9"/>
      <c r="O531" s="9"/>
      <c r="P531" s="9"/>
      <c r="Q531" s="9"/>
      <c r="R531" s="9"/>
    </row>
    <row r="532">
      <c r="B532" s="125"/>
      <c r="C532" s="125"/>
      <c r="D532" s="125"/>
      <c r="E532" s="125"/>
      <c r="G532" s="9"/>
      <c r="H532" s="9"/>
      <c r="I532" s="9"/>
      <c r="J532" s="9"/>
      <c r="K532" s="9"/>
      <c r="L532" s="9"/>
      <c r="M532" s="32"/>
      <c r="N532" s="9"/>
      <c r="O532" s="9"/>
      <c r="P532" s="9"/>
      <c r="Q532" s="9"/>
      <c r="R532" s="9"/>
    </row>
    <row r="533">
      <c r="B533" s="125"/>
      <c r="C533" s="125"/>
      <c r="D533" s="125"/>
      <c r="E533" s="125"/>
      <c r="G533" s="9"/>
      <c r="H533" s="9"/>
      <c r="I533" s="9"/>
      <c r="J533" s="9"/>
      <c r="K533" s="9"/>
      <c r="L533" s="9"/>
      <c r="M533" s="32"/>
      <c r="N533" s="9"/>
      <c r="O533" s="9"/>
      <c r="P533" s="9"/>
      <c r="Q533" s="9"/>
      <c r="R533" s="9"/>
    </row>
    <row r="534">
      <c r="B534" s="125"/>
      <c r="C534" s="125"/>
      <c r="D534" s="125"/>
      <c r="E534" s="125"/>
      <c r="G534" s="9"/>
      <c r="H534" s="9"/>
      <c r="I534" s="9"/>
      <c r="J534" s="9"/>
      <c r="K534" s="9"/>
      <c r="L534" s="9"/>
      <c r="M534" s="32"/>
      <c r="N534" s="9"/>
      <c r="O534" s="9"/>
      <c r="P534" s="9"/>
      <c r="Q534" s="9"/>
      <c r="R534" s="9"/>
    </row>
    <row r="535">
      <c r="B535" s="125"/>
      <c r="C535" s="125"/>
      <c r="D535" s="125"/>
      <c r="E535" s="125"/>
      <c r="G535" s="9"/>
      <c r="H535" s="9"/>
      <c r="I535" s="9"/>
      <c r="J535" s="9"/>
      <c r="K535" s="9"/>
      <c r="L535" s="9"/>
      <c r="M535" s="32"/>
      <c r="N535" s="9"/>
      <c r="O535" s="9"/>
      <c r="P535" s="9"/>
      <c r="Q535" s="9"/>
      <c r="R535" s="9"/>
    </row>
    <row r="536">
      <c r="B536" s="125"/>
      <c r="C536" s="125"/>
      <c r="D536" s="125"/>
      <c r="E536" s="125"/>
      <c r="G536" s="9"/>
      <c r="H536" s="9"/>
      <c r="I536" s="9"/>
      <c r="J536" s="9"/>
      <c r="K536" s="9"/>
      <c r="L536" s="9"/>
      <c r="M536" s="32"/>
      <c r="N536" s="9"/>
      <c r="O536" s="9"/>
      <c r="P536" s="9"/>
      <c r="Q536" s="9"/>
      <c r="R536" s="9"/>
    </row>
    <row r="537">
      <c r="B537" s="125"/>
      <c r="C537" s="125"/>
      <c r="D537" s="125"/>
      <c r="E537" s="125"/>
      <c r="G537" s="9"/>
      <c r="H537" s="9"/>
      <c r="I537" s="9"/>
      <c r="J537" s="9"/>
      <c r="K537" s="9"/>
      <c r="L537" s="9"/>
      <c r="M537" s="32"/>
      <c r="N537" s="9"/>
      <c r="O537" s="9"/>
      <c r="P537" s="9"/>
      <c r="Q537" s="9"/>
      <c r="R537" s="9"/>
    </row>
    <row r="538">
      <c r="B538" s="125"/>
      <c r="C538" s="125"/>
      <c r="D538" s="125"/>
      <c r="E538" s="125"/>
      <c r="G538" s="9"/>
      <c r="H538" s="9"/>
      <c r="I538" s="9"/>
      <c r="J538" s="9"/>
      <c r="K538" s="9"/>
      <c r="L538" s="9"/>
      <c r="M538" s="32"/>
      <c r="N538" s="9"/>
      <c r="O538" s="9"/>
      <c r="P538" s="9"/>
      <c r="Q538" s="9"/>
      <c r="R538" s="9"/>
    </row>
    <row r="539">
      <c r="B539" s="125"/>
      <c r="C539" s="125"/>
      <c r="D539" s="125"/>
      <c r="E539" s="125"/>
      <c r="G539" s="9"/>
      <c r="H539" s="9"/>
      <c r="I539" s="9"/>
      <c r="J539" s="9"/>
      <c r="K539" s="9"/>
      <c r="L539" s="9"/>
      <c r="M539" s="32"/>
      <c r="N539" s="9"/>
      <c r="O539" s="9"/>
      <c r="P539" s="9"/>
      <c r="Q539" s="9"/>
      <c r="R539" s="9"/>
    </row>
    <row r="540">
      <c r="B540" s="125"/>
      <c r="C540" s="125"/>
      <c r="D540" s="125"/>
      <c r="E540" s="125"/>
      <c r="G540" s="9"/>
      <c r="H540" s="9"/>
      <c r="I540" s="9"/>
      <c r="J540" s="9"/>
      <c r="K540" s="9"/>
      <c r="L540" s="9"/>
      <c r="M540" s="32"/>
      <c r="N540" s="9"/>
      <c r="O540" s="9"/>
      <c r="P540" s="9"/>
      <c r="Q540" s="9"/>
      <c r="R540" s="9"/>
    </row>
    <row r="541">
      <c r="B541" s="125"/>
      <c r="C541" s="125"/>
      <c r="D541" s="125"/>
      <c r="E541" s="125"/>
      <c r="G541" s="9"/>
      <c r="H541" s="9"/>
      <c r="I541" s="9"/>
      <c r="J541" s="9"/>
      <c r="K541" s="9"/>
      <c r="L541" s="9"/>
      <c r="M541" s="32"/>
      <c r="N541" s="9"/>
      <c r="O541" s="9"/>
      <c r="P541" s="9"/>
      <c r="Q541" s="9"/>
      <c r="R541" s="9"/>
    </row>
    <row r="542">
      <c r="B542" s="125"/>
      <c r="C542" s="125"/>
      <c r="D542" s="125"/>
      <c r="E542" s="125"/>
      <c r="G542" s="9"/>
      <c r="H542" s="9"/>
      <c r="I542" s="9"/>
      <c r="J542" s="9"/>
      <c r="K542" s="9"/>
      <c r="L542" s="9"/>
      <c r="M542" s="32"/>
      <c r="N542" s="9"/>
      <c r="O542" s="9"/>
      <c r="P542" s="9"/>
      <c r="Q542" s="9"/>
      <c r="R542" s="9"/>
    </row>
    <row r="543">
      <c r="B543" s="125"/>
      <c r="C543" s="125"/>
      <c r="D543" s="125"/>
      <c r="E543" s="125"/>
      <c r="G543" s="9"/>
      <c r="H543" s="9"/>
      <c r="I543" s="9"/>
      <c r="J543" s="9"/>
      <c r="K543" s="9"/>
      <c r="L543" s="9"/>
      <c r="M543" s="32"/>
      <c r="N543" s="9"/>
      <c r="O543" s="9"/>
      <c r="P543" s="9"/>
      <c r="Q543" s="9"/>
      <c r="R543" s="9"/>
    </row>
    <row r="544">
      <c r="B544" s="125"/>
      <c r="C544" s="125"/>
      <c r="D544" s="125"/>
      <c r="E544" s="125"/>
      <c r="G544" s="9"/>
      <c r="H544" s="9"/>
      <c r="I544" s="9"/>
      <c r="J544" s="9"/>
      <c r="K544" s="9"/>
      <c r="L544" s="9"/>
      <c r="M544" s="32"/>
      <c r="N544" s="9"/>
      <c r="O544" s="9"/>
      <c r="P544" s="9"/>
      <c r="Q544" s="9"/>
      <c r="R544" s="9"/>
    </row>
    <row r="545">
      <c r="B545" s="125"/>
      <c r="C545" s="125"/>
      <c r="D545" s="125"/>
      <c r="E545" s="125"/>
      <c r="G545" s="9"/>
      <c r="H545" s="9"/>
      <c r="I545" s="9"/>
      <c r="J545" s="9"/>
      <c r="K545" s="9"/>
      <c r="L545" s="9"/>
      <c r="M545" s="32"/>
      <c r="N545" s="9"/>
      <c r="O545" s="9"/>
      <c r="P545" s="9"/>
      <c r="Q545" s="9"/>
      <c r="R545" s="9"/>
    </row>
    <row r="546">
      <c r="B546" s="125"/>
      <c r="C546" s="125"/>
      <c r="D546" s="125"/>
      <c r="E546" s="125"/>
      <c r="G546" s="9"/>
      <c r="H546" s="9"/>
      <c r="I546" s="9"/>
      <c r="J546" s="9"/>
      <c r="K546" s="9"/>
      <c r="L546" s="9"/>
      <c r="M546" s="32"/>
      <c r="N546" s="9"/>
      <c r="O546" s="9"/>
      <c r="P546" s="9"/>
      <c r="Q546" s="9"/>
      <c r="R546" s="9"/>
    </row>
    <row r="547">
      <c r="B547" s="125"/>
      <c r="C547" s="125"/>
      <c r="D547" s="125"/>
      <c r="E547" s="125"/>
      <c r="G547" s="9"/>
      <c r="H547" s="9"/>
      <c r="I547" s="9"/>
      <c r="J547" s="9"/>
      <c r="K547" s="9"/>
      <c r="L547" s="9"/>
      <c r="M547" s="32"/>
      <c r="N547" s="9"/>
      <c r="O547" s="9"/>
      <c r="P547" s="9"/>
      <c r="Q547" s="9"/>
      <c r="R547" s="9"/>
    </row>
    <row r="548">
      <c r="B548" s="125"/>
      <c r="C548" s="125"/>
      <c r="D548" s="125"/>
      <c r="E548" s="125"/>
      <c r="G548" s="9"/>
      <c r="H548" s="9"/>
      <c r="I548" s="9"/>
      <c r="J548" s="9"/>
      <c r="K548" s="9"/>
      <c r="L548" s="9"/>
      <c r="M548" s="32"/>
      <c r="N548" s="9"/>
      <c r="O548" s="9"/>
      <c r="P548" s="9"/>
      <c r="Q548" s="9"/>
      <c r="R548" s="9"/>
    </row>
    <row r="549">
      <c r="B549" s="125"/>
      <c r="C549" s="125"/>
      <c r="D549" s="125"/>
      <c r="E549" s="125"/>
      <c r="G549" s="9"/>
      <c r="H549" s="9"/>
      <c r="I549" s="9"/>
      <c r="J549" s="9"/>
      <c r="K549" s="9"/>
      <c r="L549" s="9"/>
      <c r="M549" s="32"/>
      <c r="N549" s="9"/>
      <c r="O549" s="9"/>
      <c r="P549" s="9"/>
      <c r="Q549" s="9"/>
      <c r="R549" s="9"/>
    </row>
    <row r="550">
      <c r="B550" s="125"/>
      <c r="C550" s="125"/>
      <c r="D550" s="125"/>
      <c r="E550" s="125"/>
      <c r="G550" s="9"/>
      <c r="H550" s="9"/>
      <c r="I550" s="9"/>
      <c r="J550" s="9"/>
      <c r="K550" s="9"/>
      <c r="L550" s="9"/>
      <c r="M550" s="32"/>
      <c r="N550" s="9"/>
      <c r="O550" s="9"/>
      <c r="P550" s="9"/>
      <c r="Q550" s="9"/>
      <c r="R550" s="9"/>
    </row>
    <row r="551">
      <c r="B551" s="125"/>
      <c r="C551" s="125"/>
      <c r="D551" s="125"/>
      <c r="E551" s="125"/>
      <c r="G551" s="9"/>
      <c r="H551" s="9"/>
      <c r="I551" s="9"/>
      <c r="J551" s="9"/>
      <c r="K551" s="9"/>
      <c r="L551" s="9"/>
      <c r="M551" s="32"/>
      <c r="N551" s="9"/>
      <c r="O551" s="9"/>
      <c r="P551" s="9"/>
      <c r="Q551" s="9"/>
      <c r="R551" s="9"/>
    </row>
    <row r="552">
      <c r="B552" s="125"/>
      <c r="C552" s="125"/>
      <c r="D552" s="125"/>
      <c r="E552" s="125"/>
      <c r="G552" s="9"/>
      <c r="H552" s="9"/>
      <c r="I552" s="9"/>
      <c r="J552" s="9"/>
      <c r="K552" s="9"/>
      <c r="L552" s="9"/>
      <c r="M552" s="32"/>
      <c r="N552" s="9"/>
      <c r="O552" s="9"/>
      <c r="P552" s="9"/>
      <c r="Q552" s="9"/>
      <c r="R552" s="9"/>
    </row>
    <row r="553">
      <c r="B553" s="125"/>
      <c r="C553" s="125"/>
      <c r="D553" s="125"/>
      <c r="E553" s="125"/>
      <c r="G553" s="9"/>
      <c r="H553" s="9"/>
      <c r="I553" s="9"/>
      <c r="J553" s="9"/>
      <c r="K553" s="9"/>
      <c r="L553" s="9"/>
      <c r="M553" s="32"/>
      <c r="N553" s="9"/>
      <c r="O553" s="9"/>
      <c r="P553" s="9"/>
      <c r="Q553" s="9"/>
      <c r="R553" s="9"/>
    </row>
    <row r="554">
      <c r="B554" s="125"/>
      <c r="C554" s="125"/>
      <c r="D554" s="125"/>
      <c r="E554" s="125"/>
      <c r="G554" s="9"/>
      <c r="H554" s="9"/>
      <c r="I554" s="9"/>
      <c r="J554" s="9"/>
      <c r="K554" s="9"/>
      <c r="L554" s="9"/>
      <c r="M554" s="32"/>
      <c r="N554" s="9"/>
      <c r="O554" s="9"/>
      <c r="P554" s="9"/>
      <c r="Q554" s="9"/>
      <c r="R554" s="9"/>
    </row>
    <row r="555">
      <c r="B555" s="125"/>
      <c r="C555" s="125"/>
      <c r="D555" s="125"/>
      <c r="E555" s="125"/>
      <c r="G555" s="9"/>
      <c r="H555" s="9"/>
      <c r="I555" s="9"/>
      <c r="J555" s="9"/>
      <c r="K555" s="9"/>
      <c r="L555" s="9"/>
      <c r="M555" s="32"/>
      <c r="N555" s="9"/>
      <c r="O555" s="9"/>
      <c r="P555" s="9"/>
      <c r="Q555" s="9"/>
      <c r="R555" s="9"/>
    </row>
    <row r="556">
      <c r="B556" s="125"/>
      <c r="C556" s="125"/>
      <c r="D556" s="125"/>
      <c r="E556" s="125"/>
      <c r="G556" s="9"/>
      <c r="H556" s="9"/>
      <c r="I556" s="9"/>
      <c r="J556" s="9"/>
      <c r="K556" s="9"/>
      <c r="L556" s="9"/>
      <c r="M556" s="32"/>
      <c r="N556" s="9"/>
      <c r="O556" s="9"/>
      <c r="P556" s="9"/>
      <c r="Q556" s="9"/>
      <c r="R556" s="9"/>
    </row>
    <row r="557">
      <c r="B557" s="125"/>
      <c r="C557" s="125"/>
      <c r="D557" s="125"/>
      <c r="E557" s="125"/>
      <c r="G557" s="9"/>
      <c r="H557" s="9"/>
      <c r="I557" s="9"/>
      <c r="J557" s="9"/>
      <c r="K557" s="9"/>
      <c r="L557" s="9"/>
      <c r="M557" s="32"/>
      <c r="N557" s="9"/>
      <c r="O557" s="9"/>
      <c r="P557" s="9"/>
      <c r="Q557" s="9"/>
      <c r="R557" s="9"/>
    </row>
    <row r="558">
      <c r="B558" s="125"/>
      <c r="C558" s="125"/>
      <c r="D558" s="125"/>
      <c r="E558" s="125"/>
      <c r="G558" s="9"/>
      <c r="H558" s="9"/>
      <c r="I558" s="9"/>
      <c r="J558" s="9"/>
      <c r="K558" s="9"/>
      <c r="L558" s="9"/>
      <c r="M558" s="32"/>
      <c r="N558" s="9"/>
      <c r="O558" s="9"/>
      <c r="P558" s="9"/>
      <c r="Q558" s="9"/>
      <c r="R558" s="9"/>
    </row>
    <row r="559">
      <c r="B559" s="125"/>
      <c r="C559" s="125"/>
      <c r="D559" s="125"/>
      <c r="E559" s="125"/>
      <c r="G559" s="9"/>
      <c r="H559" s="9"/>
      <c r="I559" s="9"/>
      <c r="J559" s="9"/>
      <c r="K559" s="9"/>
      <c r="L559" s="9"/>
      <c r="M559" s="32"/>
      <c r="N559" s="9"/>
      <c r="O559" s="9"/>
      <c r="P559" s="9"/>
      <c r="Q559" s="9"/>
      <c r="R559" s="9"/>
    </row>
    <row r="560">
      <c r="B560" s="125"/>
      <c r="C560" s="125"/>
      <c r="D560" s="125"/>
      <c r="E560" s="125"/>
      <c r="G560" s="9"/>
      <c r="H560" s="9"/>
      <c r="I560" s="9"/>
      <c r="J560" s="9"/>
      <c r="K560" s="9"/>
      <c r="L560" s="9"/>
      <c r="M560" s="32"/>
      <c r="N560" s="9"/>
      <c r="O560" s="9"/>
      <c r="P560" s="9"/>
      <c r="Q560" s="9"/>
      <c r="R560" s="9"/>
    </row>
    <row r="561">
      <c r="B561" s="125"/>
      <c r="C561" s="125"/>
      <c r="D561" s="125"/>
      <c r="E561" s="125"/>
      <c r="G561" s="9"/>
      <c r="H561" s="9"/>
      <c r="I561" s="9"/>
      <c r="J561" s="9"/>
      <c r="K561" s="9"/>
      <c r="L561" s="9"/>
      <c r="M561" s="32"/>
      <c r="N561" s="9"/>
      <c r="O561" s="9"/>
      <c r="P561" s="9"/>
      <c r="Q561" s="9"/>
      <c r="R561" s="9"/>
    </row>
    <row r="562">
      <c r="B562" s="125"/>
      <c r="C562" s="125"/>
      <c r="D562" s="125"/>
      <c r="E562" s="125"/>
      <c r="G562" s="9"/>
      <c r="H562" s="9"/>
      <c r="I562" s="9"/>
      <c r="J562" s="9"/>
      <c r="K562" s="9"/>
      <c r="L562" s="9"/>
      <c r="M562" s="32"/>
      <c r="N562" s="9"/>
      <c r="O562" s="9"/>
      <c r="P562" s="9"/>
      <c r="Q562" s="9"/>
      <c r="R562" s="9"/>
    </row>
    <row r="563">
      <c r="B563" s="125"/>
      <c r="C563" s="125"/>
      <c r="D563" s="125"/>
      <c r="E563" s="125"/>
      <c r="G563" s="9"/>
      <c r="H563" s="9"/>
      <c r="I563" s="9"/>
      <c r="J563" s="9"/>
      <c r="K563" s="9"/>
      <c r="L563" s="9"/>
      <c r="M563" s="32"/>
      <c r="N563" s="9"/>
      <c r="O563" s="9"/>
      <c r="P563" s="9"/>
      <c r="Q563" s="9"/>
      <c r="R563" s="9"/>
    </row>
    <row r="564">
      <c r="B564" s="125"/>
      <c r="C564" s="125"/>
      <c r="D564" s="125"/>
      <c r="E564" s="125"/>
      <c r="G564" s="9"/>
      <c r="H564" s="9"/>
      <c r="I564" s="9"/>
      <c r="J564" s="9"/>
      <c r="K564" s="9"/>
      <c r="L564" s="9"/>
      <c r="M564" s="32"/>
      <c r="N564" s="9"/>
      <c r="O564" s="9"/>
      <c r="P564" s="9"/>
      <c r="Q564" s="9"/>
      <c r="R564" s="9"/>
    </row>
    <row r="565">
      <c r="B565" s="125"/>
      <c r="C565" s="125"/>
      <c r="D565" s="125"/>
      <c r="E565" s="125"/>
      <c r="G565" s="9"/>
      <c r="H565" s="9"/>
      <c r="I565" s="9"/>
      <c r="J565" s="9"/>
      <c r="K565" s="9"/>
      <c r="L565" s="9"/>
      <c r="M565" s="32"/>
      <c r="N565" s="9"/>
      <c r="O565" s="9"/>
      <c r="P565" s="9"/>
      <c r="Q565" s="9"/>
      <c r="R565" s="9"/>
    </row>
    <row r="566">
      <c r="B566" s="125"/>
      <c r="C566" s="125"/>
      <c r="D566" s="125"/>
      <c r="E566" s="125"/>
      <c r="G566" s="9"/>
      <c r="H566" s="9"/>
      <c r="I566" s="9"/>
      <c r="J566" s="9"/>
      <c r="K566" s="9"/>
      <c r="L566" s="9"/>
      <c r="M566" s="32"/>
      <c r="N566" s="9"/>
      <c r="O566" s="9"/>
      <c r="P566" s="9"/>
      <c r="Q566" s="9"/>
      <c r="R566" s="9"/>
    </row>
    <row r="567">
      <c r="B567" s="125"/>
      <c r="C567" s="125"/>
      <c r="D567" s="125"/>
      <c r="E567" s="125"/>
      <c r="G567" s="9"/>
      <c r="H567" s="9"/>
      <c r="I567" s="9"/>
      <c r="J567" s="9"/>
      <c r="K567" s="9"/>
      <c r="L567" s="9"/>
      <c r="M567" s="32"/>
      <c r="N567" s="9"/>
      <c r="O567" s="9"/>
      <c r="P567" s="9"/>
      <c r="Q567" s="9"/>
      <c r="R567" s="9"/>
    </row>
    <row r="568">
      <c r="B568" s="125"/>
      <c r="C568" s="125"/>
      <c r="D568" s="125"/>
      <c r="E568" s="125"/>
      <c r="G568" s="9"/>
      <c r="H568" s="9"/>
      <c r="I568" s="9"/>
      <c r="J568" s="9"/>
      <c r="K568" s="9"/>
      <c r="L568" s="9"/>
      <c r="M568" s="32"/>
      <c r="N568" s="9"/>
      <c r="O568" s="9"/>
      <c r="P568" s="9"/>
      <c r="Q568" s="9"/>
      <c r="R568" s="9"/>
    </row>
    <row r="569">
      <c r="B569" s="125"/>
      <c r="C569" s="125"/>
      <c r="D569" s="125"/>
      <c r="E569" s="125"/>
      <c r="G569" s="9"/>
      <c r="H569" s="9"/>
      <c r="I569" s="9"/>
      <c r="J569" s="9"/>
      <c r="K569" s="9"/>
      <c r="L569" s="9"/>
      <c r="M569" s="32"/>
      <c r="N569" s="9"/>
      <c r="O569" s="9"/>
      <c r="P569" s="9"/>
      <c r="Q569" s="9"/>
      <c r="R569" s="9"/>
    </row>
    <row r="570">
      <c r="B570" s="125"/>
      <c r="C570" s="125"/>
      <c r="D570" s="125"/>
      <c r="E570" s="125"/>
      <c r="G570" s="9"/>
      <c r="H570" s="9"/>
      <c r="I570" s="9"/>
      <c r="J570" s="9"/>
      <c r="K570" s="9"/>
      <c r="L570" s="9"/>
      <c r="M570" s="32"/>
      <c r="N570" s="9"/>
      <c r="O570" s="9"/>
      <c r="P570" s="9"/>
      <c r="Q570" s="9"/>
      <c r="R570" s="9"/>
    </row>
    <row r="571">
      <c r="B571" s="125"/>
      <c r="C571" s="125"/>
      <c r="D571" s="125"/>
      <c r="E571" s="125"/>
      <c r="G571" s="9"/>
      <c r="H571" s="9"/>
      <c r="I571" s="9"/>
      <c r="J571" s="9"/>
      <c r="K571" s="9"/>
      <c r="L571" s="9"/>
      <c r="M571" s="32"/>
      <c r="N571" s="9"/>
      <c r="O571" s="9"/>
      <c r="P571" s="9"/>
      <c r="Q571" s="9"/>
      <c r="R571" s="9"/>
    </row>
    <row r="572">
      <c r="B572" s="125"/>
      <c r="C572" s="125"/>
      <c r="D572" s="125"/>
      <c r="E572" s="125"/>
      <c r="G572" s="9"/>
      <c r="H572" s="9"/>
      <c r="I572" s="9"/>
      <c r="J572" s="9"/>
      <c r="K572" s="9"/>
      <c r="L572" s="9"/>
      <c r="M572" s="32"/>
      <c r="N572" s="9"/>
      <c r="O572" s="9"/>
      <c r="P572" s="9"/>
      <c r="Q572" s="9"/>
      <c r="R572" s="9"/>
    </row>
    <row r="573">
      <c r="B573" s="125"/>
      <c r="C573" s="125"/>
      <c r="D573" s="125"/>
      <c r="E573" s="125"/>
      <c r="G573" s="9"/>
      <c r="H573" s="9"/>
      <c r="I573" s="9"/>
      <c r="J573" s="9"/>
      <c r="K573" s="9"/>
      <c r="L573" s="9"/>
      <c r="M573" s="32"/>
      <c r="N573" s="9"/>
      <c r="O573" s="9"/>
      <c r="P573" s="9"/>
      <c r="Q573" s="9"/>
      <c r="R573" s="9"/>
    </row>
    <row r="574">
      <c r="B574" s="125"/>
      <c r="C574" s="125"/>
      <c r="D574" s="125"/>
      <c r="E574" s="125"/>
      <c r="G574" s="9"/>
      <c r="H574" s="9"/>
      <c r="I574" s="9"/>
      <c r="J574" s="9"/>
      <c r="K574" s="9"/>
      <c r="L574" s="9"/>
      <c r="M574" s="32"/>
      <c r="N574" s="9"/>
      <c r="O574" s="9"/>
      <c r="P574" s="9"/>
      <c r="Q574" s="9"/>
      <c r="R574" s="9"/>
    </row>
    <row r="575">
      <c r="B575" s="125"/>
      <c r="C575" s="125"/>
      <c r="D575" s="125"/>
      <c r="E575" s="125"/>
      <c r="G575" s="9"/>
      <c r="H575" s="9"/>
      <c r="I575" s="9"/>
      <c r="J575" s="9"/>
      <c r="K575" s="9"/>
      <c r="L575" s="9"/>
      <c r="M575" s="32"/>
      <c r="N575" s="9"/>
      <c r="O575" s="9"/>
      <c r="P575" s="9"/>
      <c r="Q575" s="9"/>
      <c r="R575" s="9"/>
    </row>
    <row r="576">
      <c r="B576" s="125"/>
      <c r="C576" s="125"/>
      <c r="D576" s="125"/>
      <c r="E576" s="125"/>
      <c r="G576" s="9"/>
      <c r="H576" s="9"/>
      <c r="I576" s="9"/>
      <c r="J576" s="9"/>
      <c r="K576" s="9"/>
      <c r="L576" s="9"/>
      <c r="M576" s="32"/>
      <c r="N576" s="9"/>
      <c r="O576" s="9"/>
      <c r="P576" s="9"/>
      <c r="Q576" s="9"/>
      <c r="R576" s="9"/>
    </row>
    <row r="577">
      <c r="B577" s="125"/>
      <c r="C577" s="125"/>
      <c r="D577" s="125"/>
      <c r="E577" s="125"/>
      <c r="G577" s="9"/>
      <c r="H577" s="9"/>
      <c r="I577" s="9"/>
      <c r="J577" s="9"/>
      <c r="K577" s="9"/>
      <c r="L577" s="9"/>
      <c r="M577" s="32"/>
      <c r="N577" s="9"/>
      <c r="O577" s="9"/>
      <c r="P577" s="9"/>
      <c r="Q577" s="9"/>
      <c r="R577" s="9"/>
    </row>
    <row r="578">
      <c r="B578" s="125"/>
      <c r="C578" s="125"/>
      <c r="D578" s="125"/>
      <c r="E578" s="125"/>
      <c r="G578" s="9"/>
      <c r="H578" s="9"/>
      <c r="I578" s="9"/>
      <c r="J578" s="9"/>
      <c r="K578" s="9"/>
      <c r="L578" s="9"/>
      <c r="M578" s="32"/>
      <c r="N578" s="9"/>
      <c r="O578" s="9"/>
      <c r="P578" s="9"/>
      <c r="Q578" s="9"/>
      <c r="R578" s="9"/>
    </row>
    <row r="579">
      <c r="B579" s="125"/>
      <c r="C579" s="125"/>
      <c r="D579" s="125"/>
      <c r="E579" s="125"/>
      <c r="G579" s="9"/>
      <c r="H579" s="9"/>
      <c r="I579" s="9"/>
      <c r="J579" s="9"/>
      <c r="K579" s="9"/>
      <c r="L579" s="9"/>
      <c r="M579" s="32"/>
      <c r="N579" s="9"/>
      <c r="O579" s="9"/>
      <c r="P579" s="9"/>
      <c r="Q579" s="9"/>
      <c r="R579" s="9"/>
    </row>
    <row r="580">
      <c r="B580" s="125"/>
      <c r="C580" s="125"/>
      <c r="D580" s="125"/>
      <c r="E580" s="125"/>
      <c r="G580" s="9"/>
      <c r="H580" s="9"/>
      <c r="I580" s="9"/>
      <c r="J580" s="9"/>
      <c r="K580" s="9"/>
      <c r="L580" s="9"/>
      <c r="M580" s="32"/>
      <c r="N580" s="9"/>
      <c r="O580" s="9"/>
      <c r="P580" s="9"/>
      <c r="Q580" s="9"/>
      <c r="R580" s="9"/>
    </row>
    <row r="581">
      <c r="B581" s="125"/>
      <c r="C581" s="125"/>
      <c r="D581" s="125"/>
      <c r="E581" s="125"/>
      <c r="G581" s="9"/>
      <c r="H581" s="9"/>
      <c r="I581" s="9"/>
      <c r="J581" s="9"/>
      <c r="K581" s="9"/>
      <c r="L581" s="9"/>
      <c r="M581" s="32"/>
      <c r="N581" s="9"/>
      <c r="O581" s="9"/>
      <c r="P581" s="9"/>
      <c r="Q581" s="9"/>
      <c r="R581" s="9"/>
    </row>
    <row r="582">
      <c r="B582" s="125"/>
      <c r="C582" s="125"/>
      <c r="D582" s="125"/>
      <c r="E582" s="125"/>
      <c r="G582" s="9"/>
      <c r="H582" s="9"/>
      <c r="I582" s="9"/>
      <c r="J582" s="9"/>
      <c r="K582" s="9"/>
      <c r="L582" s="9"/>
      <c r="M582" s="32"/>
      <c r="N582" s="9"/>
      <c r="O582" s="9"/>
      <c r="P582" s="9"/>
      <c r="Q582" s="9"/>
      <c r="R582" s="9"/>
    </row>
    <row r="583">
      <c r="B583" s="125"/>
      <c r="C583" s="125"/>
      <c r="D583" s="125"/>
      <c r="E583" s="125"/>
      <c r="G583" s="9"/>
      <c r="H583" s="9"/>
      <c r="I583" s="9"/>
      <c r="J583" s="9"/>
      <c r="K583" s="9"/>
      <c r="L583" s="9"/>
      <c r="M583" s="32"/>
      <c r="N583" s="9"/>
      <c r="O583" s="9"/>
      <c r="P583" s="9"/>
      <c r="Q583" s="9"/>
      <c r="R583" s="9"/>
    </row>
    <row r="584">
      <c r="B584" s="125"/>
      <c r="C584" s="125"/>
      <c r="D584" s="125"/>
      <c r="E584" s="125"/>
      <c r="G584" s="9"/>
      <c r="H584" s="9"/>
      <c r="I584" s="9"/>
      <c r="J584" s="9"/>
      <c r="K584" s="9"/>
      <c r="L584" s="9"/>
      <c r="M584" s="32"/>
      <c r="N584" s="9"/>
      <c r="O584" s="9"/>
      <c r="P584" s="9"/>
      <c r="Q584" s="9"/>
      <c r="R584" s="9"/>
    </row>
    <row r="585">
      <c r="B585" s="125"/>
      <c r="C585" s="125"/>
      <c r="D585" s="125"/>
      <c r="E585" s="125"/>
      <c r="G585" s="9"/>
      <c r="H585" s="9"/>
      <c r="I585" s="9"/>
      <c r="J585" s="9"/>
      <c r="K585" s="9"/>
      <c r="L585" s="9"/>
      <c r="M585" s="32"/>
      <c r="N585" s="9"/>
      <c r="O585" s="9"/>
      <c r="P585" s="9"/>
      <c r="Q585" s="9"/>
      <c r="R585" s="9"/>
    </row>
    <row r="586">
      <c r="B586" s="125"/>
      <c r="C586" s="125"/>
      <c r="D586" s="125"/>
      <c r="E586" s="125"/>
      <c r="G586" s="9"/>
      <c r="H586" s="9"/>
      <c r="I586" s="9"/>
      <c r="J586" s="9"/>
      <c r="K586" s="9"/>
      <c r="L586" s="9"/>
      <c r="M586" s="32"/>
      <c r="N586" s="9"/>
      <c r="O586" s="9"/>
      <c r="P586" s="9"/>
      <c r="Q586" s="9"/>
      <c r="R586" s="9"/>
    </row>
    <row r="587">
      <c r="B587" s="125"/>
      <c r="C587" s="125"/>
      <c r="D587" s="125"/>
      <c r="E587" s="125"/>
      <c r="G587" s="9"/>
      <c r="H587" s="9"/>
      <c r="I587" s="9"/>
      <c r="J587" s="9"/>
      <c r="K587" s="9"/>
      <c r="L587" s="9"/>
      <c r="M587" s="32"/>
      <c r="N587" s="9"/>
      <c r="O587" s="9"/>
      <c r="P587" s="9"/>
      <c r="Q587" s="9"/>
      <c r="R587" s="9"/>
    </row>
    <row r="588">
      <c r="B588" s="125"/>
      <c r="C588" s="125"/>
      <c r="D588" s="125"/>
      <c r="E588" s="125"/>
      <c r="G588" s="9"/>
      <c r="H588" s="9"/>
      <c r="I588" s="9"/>
      <c r="J588" s="9"/>
      <c r="K588" s="9"/>
      <c r="L588" s="9"/>
      <c r="M588" s="32"/>
      <c r="N588" s="9"/>
      <c r="O588" s="9"/>
      <c r="P588" s="9"/>
      <c r="Q588" s="9"/>
      <c r="R588" s="9"/>
    </row>
    <row r="589">
      <c r="B589" s="125"/>
      <c r="C589" s="125"/>
      <c r="D589" s="125"/>
      <c r="E589" s="125"/>
      <c r="G589" s="9"/>
      <c r="H589" s="9"/>
      <c r="I589" s="9"/>
      <c r="J589" s="9"/>
      <c r="K589" s="9"/>
      <c r="L589" s="9"/>
      <c r="M589" s="32"/>
      <c r="N589" s="9"/>
      <c r="O589" s="9"/>
      <c r="P589" s="9"/>
      <c r="Q589" s="9"/>
      <c r="R589" s="9"/>
    </row>
    <row r="590">
      <c r="B590" s="125"/>
      <c r="C590" s="125"/>
      <c r="D590" s="125"/>
      <c r="E590" s="125"/>
      <c r="G590" s="9"/>
      <c r="H590" s="9"/>
      <c r="I590" s="9"/>
      <c r="J590" s="9"/>
      <c r="K590" s="9"/>
      <c r="L590" s="9"/>
      <c r="M590" s="32"/>
      <c r="N590" s="9"/>
      <c r="O590" s="9"/>
      <c r="P590" s="9"/>
      <c r="Q590" s="9"/>
      <c r="R590" s="9"/>
    </row>
    <row r="591">
      <c r="B591" s="125"/>
      <c r="C591" s="125"/>
      <c r="D591" s="125"/>
      <c r="E591" s="125"/>
      <c r="G591" s="9"/>
      <c r="H591" s="9"/>
      <c r="I591" s="9"/>
      <c r="J591" s="9"/>
      <c r="K591" s="9"/>
      <c r="L591" s="9"/>
      <c r="M591" s="32"/>
      <c r="N591" s="9"/>
      <c r="O591" s="9"/>
      <c r="P591" s="9"/>
      <c r="Q591" s="9"/>
      <c r="R591" s="9"/>
    </row>
    <row r="592">
      <c r="B592" s="125"/>
      <c r="C592" s="125"/>
      <c r="D592" s="125"/>
      <c r="E592" s="125"/>
      <c r="G592" s="9"/>
      <c r="H592" s="9"/>
      <c r="I592" s="9"/>
      <c r="J592" s="9"/>
      <c r="K592" s="9"/>
      <c r="L592" s="9"/>
      <c r="M592" s="32"/>
      <c r="N592" s="9"/>
      <c r="O592" s="9"/>
      <c r="P592" s="9"/>
      <c r="Q592" s="9"/>
      <c r="R592" s="9"/>
    </row>
    <row r="593">
      <c r="B593" s="125"/>
      <c r="C593" s="125"/>
      <c r="D593" s="125"/>
      <c r="E593" s="125"/>
      <c r="G593" s="9"/>
      <c r="H593" s="9"/>
      <c r="I593" s="9"/>
      <c r="J593" s="9"/>
      <c r="K593" s="9"/>
      <c r="L593" s="9"/>
      <c r="M593" s="32"/>
      <c r="N593" s="9"/>
      <c r="O593" s="9"/>
      <c r="P593" s="9"/>
      <c r="Q593" s="9"/>
      <c r="R593" s="9"/>
    </row>
    <row r="594">
      <c r="B594" s="125"/>
      <c r="C594" s="125"/>
      <c r="D594" s="125"/>
      <c r="E594" s="125"/>
      <c r="G594" s="9"/>
      <c r="H594" s="9"/>
      <c r="I594" s="9"/>
      <c r="J594" s="9"/>
      <c r="K594" s="9"/>
      <c r="L594" s="9"/>
      <c r="M594" s="32"/>
      <c r="N594" s="9"/>
      <c r="O594" s="9"/>
      <c r="P594" s="9"/>
      <c r="Q594" s="9"/>
      <c r="R594" s="9"/>
    </row>
    <row r="595">
      <c r="B595" s="125"/>
      <c r="C595" s="125"/>
      <c r="D595" s="125"/>
      <c r="E595" s="125"/>
      <c r="G595" s="9"/>
      <c r="H595" s="9"/>
      <c r="I595" s="9"/>
      <c r="J595" s="9"/>
      <c r="K595" s="9"/>
      <c r="L595" s="9"/>
      <c r="M595" s="32"/>
      <c r="N595" s="9"/>
      <c r="O595" s="9"/>
      <c r="P595" s="9"/>
      <c r="Q595" s="9"/>
      <c r="R595" s="9"/>
    </row>
    <row r="596">
      <c r="B596" s="125"/>
      <c r="C596" s="125"/>
      <c r="D596" s="125"/>
      <c r="E596" s="125"/>
      <c r="G596" s="9"/>
      <c r="H596" s="9"/>
      <c r="I596" s="9"/>
      <c r="J596" s="9"/>
      <c r="K596" s="9"/>
      <c r="L596" s="9"/>
      <c r="M596" s="32"/>
      <c r="N596" s="9"/>
      <c r="O596" s="9"/>
      <c r="P596" s="9"/>
      <c r="Q596" s="9"/>
      <c r="R596" s="9"/>
    </row>
    <row r="597">
      <c r="B597" s="125"/>
      <c r="C597" s="125"/>
      <c r="D597" s="125"/>
      <c r="E597" s="125"/>
      <c r="G597" s="9"/>
      <c r="H597" s="9"/>
      <c r="I597" s="9"/>
      <c r="J597" s="9"/>
      <c r="K597" s="9"/>
      <c r="L597" s="9"/>
      <c r="M597" s="32"/>
      <c r="N597" s="9"/>
      <c r="O597" s="9"/>
      <c r="P597" s="9"/>
      <c r="Q597" s="9"/>
      <c r="R597" s="9"/>
    </row>
    <row r="598">
      <c r="B598" s="125"/>
      <c r="C598" s="125"/>
      <c r="D598" s="125"/>
      <c r="E598" s="125"/>
      <c r="G598" s="9"/>
      <c r="H598" s="9"/>
      <c r="I598" s="9"/>
      <c r="J598" s="9"/>
      <c r="K598" s="9"/>
      <c r="L598" s="9"/>
      <c r="M598" s="32"/>
      <c r="N598" s="9"/>
      <c r="O598" s="9"/>
      <c r="P598" s="9"/>
      <c r="Q598" s="9"/>
      <c r="R598" s="9"/>
    </row>
    <row r="599">
      <c r="B599" s="125"/>
      <c r="C599" s="125"/>
      <c r="D599" s="125"/>
      <c r="E599" s="125"/>
      <c r="G599" s="9"/>
      <c r="H599" s="9"/>
      <c r="I599" s="9"/>
      <c r="J599" s="9"/>
      <c r="K599" s="9"/>
      <c r="L599" s="9"/>
      <c r="M599" s="32"/>
      <c r="N599" s="9"/>
      <c r="O599" s="9"/>
      <c r="P599" s="9"/>
      <c r="Q599" s="9"/>
      <c r="R599" s="9"/>
    </row>
    <row r="600">
      <c r="B600" s="125"/>
      <c r="C600" s="125"/>
      <c r="D600" s="125"/>
      <c r="E600" s="125"/>
      <c r="G600" s="9"/>
      <c r="H600" s="9"/>
      <c r="I600" s="9"/>
      <c r="J600" s="9"/>
      <c r="K600" s="9"/>
      <c r="L600" s="9"/>
      <c r="M600" s="32"/>
      <c r="N600" s="9"/>
      <c r="O600" s="9"/>
      <c r="P600" s="9"/>
      <c r="Q600" s="9"/>
      <c r="R600" s="9"/>
    </row>
    <row r="601">
      <c r="B601" s="125"/>
      <c r="C601" s="125"/>
      <c r="D601" s="125"/>
      <c r="E601" s="125"/>
      <c r="G601" s="9"/>
      <c r="H601" s="9"/>
      <c r="I601" s="9"/>
      <c r="J601" s="9"/>
      <c r="K601" s="9"/>
      <c r="L601" s="9"/>
      <c r="M601" s="32"/>
      <c r="N601" s="9"/>
      <c r="O601" s="9"/>
      <c r="P601" s="9"/>
      <c r="Q601" s="9"/>
      <c r="R601" s="9"/>
    </row>
    <row r="602">
      <c r="B602" s="125"/>
      <c r="C602" s="125"/>
      <c r="D602" s="125"/>
      <c r="E602" s="125"/>
      <c r="G602" s="9"/>
      <c r="H602" s="9"/>
      <c r="I602" s="9"/>
      <c r="J602" s="9"/>
      <c r="K602" s="9"/>
      <c r="L602" s="9"/>
      <c r="M602" s="32"/>
      <c r="N602" s="9"/>
      <c r="O602" s="9"/>
      <c r="P602" s="9"/>
      <c r="Q602" s="9"/>
      <c r="R602" s="9"/>
    </row>
    <row r="603">
      <c r="B603" s="125"/>
      <c r="C603" s="125"/>
      <c r="D603" s="125"/>
      <c r="E603" s="125"/>
      <c r="G603" s="9"/>
      <c r="H603" s="9"/>
      <c r="I603" s="9"/>
      <c r="J603" s="9"/>
      <c r="K603" s="9"/>
      <c r="L603" s="9"/>
      <c r="M603" s="32"/>
      <c r="N603" s="9"/>
      <c r="O603" s="9"/>
      <c r="P603" s="9"/>
      <c r="Q603" s="9"/>
      <c r="R603" s="9"/>
    </row>
    <row r="604">
      <c r="B604" s="125"/>
      <c r="C604" s="125"/>
      <c r="D604" s="125"/>
      <c r="E604" s="125"/>
      <c r="G604" s="9"/>
      <c r="H604" s="9"/>
      <c r="I604" s="9"/>
      <c r="J604" s="9"/>
      <c r="K604" s="9"/>
      <c r="L604" s="9"/>
      <c r="M604" s="32"/>
      <c r="N604" s="9"/>
      <c r="O604" s="9"/>
      <c r="P604" s="9"/>
      <c r="Q604" s="9"/>
      <c r="R604" s="9"/>
    </row>
    <row r="605">
      <c r="B605" s="125"/>
      <c r="C605" s="125"/>
      <c r="D605" s="125"/>
      <c r="E605" s="125"/>
      <c r="G605" s="9"/>
      <c r="H605" s="9"/>
      <c r="I605" s="9"/>
      <c r="J605" s="9"/>
      <c r="K605" s="9"/>
      <c r="L605" s="9"/>
      <c r="M605" s="32"/>
      <c r="N605" s="9"/>
      <c r="O605" s="9"/>
      <c r="P605" s="9"/>
      <c r="Q605" s="9"/>
      <c r="R605" s="9"/>
    </row>
    <row r="606">
      <c r="B606" s="125"/>
      <c r="C606" s="125"/>
      <c r="D606" s="125"/>
      <c r="E606" s="125"/>
      <c r="G606" s="9"/>
      <c r="H606" s="9"/>
      <c r="I606" s="9"/>
      <c r="J606" s="9"/>
      <c r="K606" s="9"/>
      <c r="L606" s="9"/>
      <c r="M606" s="32"/>
      <c r="N606" s="9"/>
      <c r="O606" s="9"/>
      <c r="P606" s="9"/>
      <c r="Q606" s="9"/>
      <c r="R606" s="9"/>
    </row>
    <row r="607">
      <c r="B607" s="125"/>
      <c r="C607" s="125"/>
      <c r="D607" s="125"/>
      <c r="E607" s="125"/>
      <c r="G607" s="9"/>
      <c r="H607" s="9"/>
      <c r="I607" s="9"/>
      <c r="J607" s="9"/>
      <c r="K607" s="9"/>
      <c r="L607" s="9"/>
      <c r="M607" s="32"/>
      <c r="N607" s="9"/>
      <c r="O607" s="9"/>
      <c r="P607" s="9"/>
      <c r="Q607" s="9"/>
      <c r="R607" s="9"/>
    </row>
    <row r="608">
      <c r="B608" s="125"/>
      <c r="C608" s="125"/>
      <c r="D608" s="125"/>
      <c r="E608" s="125"/>
      <c r="G608" s="9"/>
      <c r="H608" s="9"/>
      <c r="I608" s="9"/>
      <c r="J608" s="9"/>
      <c r="K608" s="9"/>
      <c r="L608" s="9"/>
      <c r="M608" s="32"/>
      <c r="N608" s="9"/>
      <c r="O608" s="9"/>
      <c r="P608" s="9"/>
      <c r="Q608" s="9"/>
      <c r="R608" s="9"/>
    </row>
    <row r="609">
      <c r="B609" s="125"/>
      <c r="C609" s="125"/>
      <c r="D609" s="125"/>
      <c r="E609" s="125"/>
      <c r="G609" s="9"/>
      <c r="H609" s="9"/>
      <c r="I609" s="9"/>
      <c r="J609" s="9"/>
      <c r="K609" s="9"/>
      <c r="L609" s="9"/>
      <c r="M609" s="32"/>
      <c r="N609" s="9"/>
      <c r="O609" s="9"/>
      <c r="P609" s="9"/>
      <c r="Q609" s="9"/>
      <c r="R609" s="9"/>
    </row>
    <row r="610">
      <c r="B610" s="125"/>
      <c r="C610" s="125"/>
      <c r="D610" s="125"/>
      <c r="E610" s="125"/>
      <c r="G610" s="9"/>
      <c r="H610" s="9"/>
      <c r="I610" s="9"/>
      <c r="J610" s="9"/>
      <c r="K610" s="9"/>
      <c r="L610" s="9"/>
      <c r="M610" s="32"/>
      <c r="N610" s="9"/>
      <c r="O610" s="9"/>
      <c r="P610" s="9"/>
      <c r="Q610" s="9"/>
      <c r="R610" s="9"/>
    </row>
    <row r="611">
      <c r="B611" s="125"/>
      <c r="C611" s="125"/>
      <c r="D611" s="125"/>
      <c r="E611" s="125"/>
      <c r="G611" s="9"/>
      <c r="H611" s="9"/>
      <c r="I611" s="9"/>
      <c r="J611" s="9"/>
      <c r="K611" s="9"/>
      <c r="L611" s="9"/>
      <c r="M611" s="32"/>
      <c r="N611" s="9"/>
      <c r="O611" s="9"/>
      <c r="P611" s="9"/>
      <c r="Q611" s="9"/>
      <c r="R611" s="9"/>
    </row>
    <row r="612">
      <c r="B612" s="125"/>
      <c r="C612" s="125"/>
      <c r="D612" s="125"/>
      <c r="E612" s="125"/>
      <c r="G612" s="9"/>
      <c r="H612" s="9"/>
      <c r="I612" s="9"/>
      <c r="J612" s="9"/>
      <c r="K612" s="9"/>
      <c r="L612" s="9"/>
      <c r="M612" s="32"/>
      <c r="N612" s="9"/>
      <c r="O612" s="9"/>
      <c r="P612" s="9"/>
      <c r="Q612" s="9"/>
      <c r="R612" s="9"/>
    </row>
    <row r="613">
      <c r="B613" s="125"/>
      <c r="C613" s="125"/>
      <c r="D613" s="125"/>
      <c r="E613" s="125"/>
      <c r="G613" s="9"/>
      <c r="H613" s="9"/>
      <c r="I613" s="9"/>
      <c r="J613" s="9"/>
      <c r="K613" s="9"/>
      <c r="L613" s="9"/>
      <c r="M613" s="32"/>
      <c r="N613" s="9"/>
      <c r="O613" s="9"/>
      <c r="P613" s="9"/>
      <c r="Q613" s="9"/>
      <c r="R613" s="9"/>
    </row>
    <row r="614">
      <c r="B614" s="125"/>
      <c r="C614" s="125"/>
      <c r="D614" s="125"/>
      <c r="E614" s="125"/>
      <c r="G614" s="9"/>
      <c r="H614" s="9"/>
      <c r="I614" s="9"/>
      <c r="J614" s="9"/>
      <c r="K614" s="9"/>
      <c r="L614" s="9"/>
      <c r="M614" s="32"/>
      <c r="N614" s="9"/>
      <c r="O614" s="9"/>
      <c r="P614" s="9"/>
      <c r="Q614" s="9"/>
      <c r="R614" s="9"/>
    </row>
    <row r="615">
      <c r="B615" s="125"/>
      <c r="C615" s="125"/>
      <c r="D615" s="125"/>
      <c r="E615" s="125"/>
      <c r="G615" s="9"/>
      <c r="H615" s="9"/>
      <c r="I615" s="9"/>
      <c r="J615" s="9"/>
      <c r="K615" s="9"/>
      <c r="L615" s="9"/>
      <c r="M615" s="32"/>
      <c r="N615" s="9"/>
      <c r="O615" s="9"/>
      <c r="P615" s="9"/>
      <c r="Q615" s="9"/>
      <c r="R615" s="9"/>
    </row>
    <row r="616">
      <c r="B616" s="125"/>
      <c r="C616" s="125"/>
      <c r="D616" s="125"/>
      <c r="E616" s="125"/>
      <c r="G616" s="9"/>
      <c r="H616" s="9"/>
      <c r="I616" s="9"/>
      <c r="J616" s="9"/>
      <c r="K616" s="9"/>
      <c r="L616" s="9"/>
      <c r="M616" s="32"/>
      <c r="N616" s="9"/>
      <c r="O616" s="9"/>
      <c r="P616" s="9"/>
      <c r="Q616" s="9"/>
      <c r="R616" s="9"/>
    </row>
    <row r="617">
      <c r="B617" s="125"/>
      <c r="C617" s="125"/>
      <c r="D617" s="125"/>
      <c r="E617" s="125"/>
      <c r="G617" s="9"/>
      <c r="H617" s="9"/>
      <c r="I617" s="9"/>
      <c r="J617" s="9"/>
      <c r="K617" s="9"/>
      <c r="L617" s="9"/>
      <c r="M617" s="32"/>
      <c r="N617" s="9"/>
      <c r="O617" s="9"/>
      <c r="P617" s="9"/>
      <c r="Q617" s="9"/>
      <c r="R617" s="9"/>
    </row>
    <row r="618">
      <c r="B618" s="125"/>
      <c r="C618" s="125"/>
      <c r="D618" s="125"/>
      <c r="E618" s="125"/>
      <c r="G618" s="9"/>
      <c r="H618" s="9"/>
      <c r="I618" s="9"/>
      <c r="J618" s="9"/>
      <c r="K618" s="9"/>
      <c r="L618" s="9"/>
      <c r="M618" s="32"/>
      <c r="N618" s="9"/>
      <c r="O618" s="9"/>
      <c r="P618" s="9"/>
      <c r="Q618" s="9"/>
      <c r="R618" s="9"/>
    </row>
    <row r="619">
      <c r="B619" s="125"/>
      <c r="C619" s="125"/>
      <c r="D619" s="125"/>
      <c r="E619" s="125"/>
      <c r="G619" s="9"/>
      <c r="H619" s="9"/>
      <c r="I619" s="9"/>
      <c r="J619" s="9"/>
      <c r="K619" s="9"/>
      <c r="L619" s="9"/>
      <c r="M619" s="32"/>
      <c r="N619" s="9"/>
      <c r="O619" s="9"/>
      <c r="P619" s="9"/>
      <c r="Q619" s="9"/>
      <c r="R619" s="9"/>
    </row>
    <row r="620">
      <c r="B620" s="125"/>
      <c r="C620" s="125"/>
      <c r="D620" s="125"/>
      <c r="E620" s="125"/>
      <c r="G620" s="9"/>
      <c r="H620" s="9"/>
      <c r="I620" s="9"/>
      <c r="J620" s="9"/>
      <c r="K620" s="9"/>
      <c r="L620" s="9"/>
      <c r="M620" s="32"/>
      <c r="N620" s="9"/>
      <c r="O620" s="9"/>
      <c r="P620" s="9"/>
      <c r="Q620" s="9"/>
      <c r="R620" s="9"/>
    </row>
    <row r="621">
      <c r="B621" s="125"/>
      <c r="C621" s="125"/>
      <c r="D621" s="125"/>
      <c r="E621" s="125"/>
      <c r="G621" s="9"/>
      <c r="H621" s="9"/>
      <c r="I621" s="9"/>
      <c r="J621" s="9"/>
      <c r="K621" s="9"/>
      <c r="L621" s="9"/>
      <c r="M621" s="32"/>
      <c r="N621" s="9"/>
      <c r="O621" s="9"/>
      <c r="P621" s="9"/>
      <c r="Q621" s="9"/>
      <c r="R621" s="9"/>
    </row>
    <row r="622">
      <c r="B622" s="125"/>
      <c r="C622" s="125"/>
      <c r="D622" s="125"/>
      <c r="E622" s="125"/>
      <c r="G622" s="9"/>
      <c r="H622" s="9"/>
      <c r="I622" s="9"/>
      <c r="J622" s="9"/>
      <c r="K622" s="9"/>
      <c r="L622" s="9"/>
      <c r="M622" s="32"/>
      <c r="N622" s="9"/>
      <c r="O622" s="9"/>
      <c r="P622" s="9"/>
      <c r="Q622" s="9"/>
      <c r="R622" s="9"/>
    </row>
    <row r="623">
      <c r="B623" s="125"/>
      <c r="C623" s="125"/>
      <c r="D623" s="125"/>
      <c r="E623" s="125"/>
      <c r="G623" s="9"/>
      <c r="H623" s="9"/>
      <c r="I623" s="9"/>
      <c r="J623" s="9"/>
      <c r="K623" s="9"/>
      <c r="L623" s="9"/>
      <c r="M623" s="32"/>
      <c r="N623" s="9"/>
      <c r="O623" s="9"/>
      <c r="P623" s="9"/>
      <c r="Q623" s="9"/>
      <c r="R623" s="9"/>
    </row>
    <row r="624">
      <c r="B624" s="125"/>
      <c r="C624" s="125"/>
      <c r="D624" s="125"/>
      <c r="E624" s="125"/>
      <c r="G624" s="9"/>
      <c r="H624" s="9"/>
      <c r="I624" s="9"/>
      <c r="J624" s="9"/>
      <c r="K624" s="9"/>
      <c r="L624" s="9"/>
      <c r="M624" s="32"/>
      <c r="N624" s="9"/>
      <c r="O624" s="9"/>
      <c r="P624" s="9"/>
      <c r="Q624" s="9"/>
      <c r="R624" s="9"/>
    </row>
    <row r="625">
      <c r="B625" s="125"/>
      <c r="C625" s="125"/>
      <c r="D625" s="125"/>
      <c r="E625" s="125"/>
      <c r="G625" s="9"/>
      <c r="H625" s="9"/>
      <c r="I625" s="9"/>
      <c r="J625" s="9"/>
      <c r="K625" s="9"/>
      <c r="L625" s="9"/>
      <c r="M625" s="32"/>
      <c r="N625" s="9"/>
      <c r="O625" s="9"/>
      <c r="P625" s="9"/>
      <c r="Q625" s="9"/>
      <c r="R625" s="9"/>
    </row>
    <row r="626">
      <c r="B626" s="125"/>
      <c r="C626" s="125"/>
      <c r="D626" s="125"/>
      <c r="E626" s="125"/>
      <c r="G626" s="9"/>
      <c r="H626" s="9"/>
      <c r="I626" s="9"/>
      <c r="J626" s="9"/>
      <c r="K626" s="9"/>
      <c r="L626" s="9"/>
      <c r="M626" s="32"/>
      <c r="N626" s="9"/>
      <c r="O626" s="9"/>
      <c r="P626" s="9"/>
      <c r="Q626" s="9"/>
      <c r="R626" s="9"/>
    </row>
    <row r="627">
      <c r="B627" s="125"/>
      <c r="C627" s="125"/>
      <c r="D627" s="125"/>
      <c r="E627" s="125"/>
      <c r="G627" s="9"/>
      <c r="H627" s="9"/>
      <c r="I627" s="9"/>
      <c r="J627" s="9"/>
      <c r="K627" s="9"/>
      <c r="L627" s="9"/>
      <c r="M627" s="32"/>
      <c r="N627" s="9"/>
      <c r="O627" s="9"/>
      <c r="P627" s="9"/>
      <c r="Q627" s="9"/>
      <c r="R627" s="9"/>
    </row>
    <row r="628">
      <c r="B628" s="125"/>
      <c r="C628" s="125"/>
      <c r="D628" s="125"/>
      <c r="E628" s="125"/>
      <c r="G628" s="9"/>
      <c r="H628" s="9"/>
      <c r="I628" s="9"/>
      <c r="J628" s="9"/>
      <c r="K628" s="9"/>
      <c r="L628" s="9"/>
      <c r="M628" s="32"/>
      <c r="N628" s="9"/>
      <c r="O628" s="9"/>
      <c r="P628" s="9"/>
      <c r="Q628" s="9"/>
      <c r="R628" s="9"/>
    </row>
    <row r="629">
      <c r="B629" s="125"/>
      <c r="C629" s="125"/>
      <c r="D629" s="125"/>
      <c r="E629" s="125"/>
      <c r="G629" s="9"/>
      <c r="H629" s="9"/>
      <c r="I629" s="9"/>
      <c r="J629" s="9"/>
      <c r="K629" s="9"/>
      <c r="L629" s="9"/>
      <c r="M629" s="32"/>
      <c r="N629" s="9"/>
      <c r="O629" s="9"/>
      <c r="P629" s="9"/>
      <c r="Q629" s="9"/>
      <c r="R629" s="9"/>
    </row>
    <row r="630">
      <c r="B630" s="125"/>
      <c r="C630" s="125"/>
      <c r="D630" s="125"/>
      <c r="E630" s="125"/>
      <c r="G630" s="9"/>
      <c r="H630" s="9"/>
      <c r="I630" s="9"/>
      <c r="J630" s="9"/>
      <c r="K630" s="9"/>
      <c r="L630" s="9"/>
      <c r="M630" s="32"/>
      <c r="N630" s="9"/>
      <c r="O630" s="9"/>
      <c r="P630" s="9"/>
      <c r="Q630" s="9"/>
      <c r="R630" s="9"/>
    </row>
    <row r="631">
      <c r="B631" s="125"/>
      <c r="C631" s="125"/>
      <c r="D631" s="125"/>
      <c r="E631" s="125"/>
      <c r="G631" s="9"/>
      <c r="H631" s="9"/>
      <c r="I631" s="9"/>
      <c r="J631" s="9"/>
      <c r="K631" s="9"/>
      <c r="L631" s="9"/>
      <c r="M631" s="32"/>
      <c r="N631" s="9"/>
      <c r="O631" s="9"/>
      <c r="P631" s="9"/>
      <c r="Q631" s="9"/>
      <c r="R631" s="9"/>
    </row>
    <row r="632">
      <c r="B632" s="125"/>
      <c r="C632" s="125"/>
      <c r="D632" s="125"/>
      <c r="E632" s="125"/>
      <c r="G632" s="9"/>
      <c r="H632" s="9"/>
      <c r="I632" s="9"/>
      <c r="J632" s="9"/>
      <c r="K632" s="9"/>
      <c r="L632" s="9"/>
      <c r="M632" s="32"/>
      <c r="N632" s="9"/>
      <c r="O632" s="9"/>
      <c r="P632" s="9"/>
      <c r="Q632" s="9"/>
      <c r="R632" s="9"/>
    </row>
    <row r="633">
      <c r="B633" s="125"/>
      <c r="C633" s="125"/>
      <c r="D633" s="125"/>
      <c r="E633" s="125"/>
      <c r="G633" s="9"/>
      <c r="H633" s="9"/>
      <c r="I633" s="9"/>
      <c r="J633" s="9"/>
      <c r="K633" s="9"/>
      <c r="L633" s="9"/>
      <c r="M633" s="32"/>
      <c r="N633" s="9"/>
      <c r="O633" s="9"/>
      <c r="P633" s="9"/>
      <c r="Q633" s="9"/>
      <c r="R633" s="9"/>
    </row>
    <row r="634">
      <c r="B634" s="125"/>
      <c r="C634" s="125"/>
      <c r="D634" s="125"/>
      <c r="E634" s="125"/>
      <c r="G634" s="9"/>
      <c r="H634" s="9"/>
      <c r="I634" s="9"/>
      <c r="J634" s="9"/>
      <c r="K634" s="9"/>
      <c r="L634" s="9"/>
      <c r="M634" s="32"/>
      <c r="N634" s="9"/>
      <c r="O634" s="9"/>
      <c r="P634" s="9"/>
      <c r="Q634" s="9"/>
      <c r="R634" s="9"/>
    </row>
    <row r="635">
      <c r="B635" s="125"/>
      <c r="C635" s="125"/>
      <c r="D635" s="125"/>
      <c r="E635" s="125"/>
      <c r="G635" s="9"/>
      <c r="H635" s="9"/>
      <c r="I635" s="9"/>
      <c r="J635" s="9"/>
      <c r="K635" s="9"/>
      <c r="L635" s="9"/>
      <c r="M635" s="32"/>
      <c r="N635" s="9"/>
      <c r="O635" s="9"/>
      <c r="P635" s="9"/>
      <c r="Q635" s="9"/>
      <c r="R635" s="9"/>
    </row>
    <row r="636">
      <c r="B636" s="125"/>
      <c r="C636" s="125"/>
      <c r="D636" s="125"/>
      <c r="E636" s="125"/>
      <c r="G636" s="9"/>
      <c r="H636" s="9"/>
      <c r="I636" s="9"/>
      <c r="J636" s="9"/>
      <c r="K636" s="9"/>
      <c r="L636" s="9"/>
      <c r="M636" s="32"/>
      <c r="N636" s="9"/>
      <c r="O636" s="9"/>
      <c r="P636" s="9"/>
      <c r="Q636" s="9"/>
      <c r="R636" s="9"/>
    </row>
    <row r="637">
      <c r="B637" s="125"/>
      <c r="C637" s="125"/>
      <c r="D637" s="125"/>
      <c r="E637" s="125"/>
      <c r="G637" s="9"/>
      <c r="H637" s="9"/>
      <c r="I637" s="9"/>
      <c r="J637" s="9"/>
      <c r="K637" s="9"/>
      <c r="L637" s="9"/>
      <c r="M637" s="32"/>
      <c r="N637" s="9"/>
      <c r="O637" s="9"/>
      <c r="P637" s="9"/>
      <c r="Q637" s="9"/>
      <c r="R637" s="9"/>
    </row>
    <row r="638">
      <c r="B638" s="125"/>
      <c r="C638" s="125"/>
      <c r="D638" s="125"/>
      <c r="E638" s="125"/>
      <c r="G638" s="9"/>
      <c r="H638" s="9"/>
      <c r="I638" s="9"/>
      <c r="J638" s="9"/>
      <c r="K638" s="9"/>
      <c r="L638" s="9"/>
      <c r="M638" s="32"/>
      <c r="N638" s="9"/>
      <c r="O638" s="9"/>
      <c r="P638" s="9"/>
      <c r="Q638" s="9"/>
      <c r="R638" s="9"/>
    </row>
    <row r="639">
      <c r="B639" s="125"/>
      <c r="C639" s="125"/>
      <c r="D639" s="125"/>
      <c r="E639" s="125"/>
      <c r="G639" s="9"/>
      <c r="H639" s="9"/>
      <c r="I639" s="9"/>
      <c r="J639" s="9"/>
      <c r="K639" s="9"/>
      <c r="L639" s="9"/>
      <c r="M639" s="32"/>
      <c r="N639" s="9"/>
      <c r="O639" s="9"/>
      <c r="P639" s="9"/>
      <c r="Q639" s="9"/>
      <c r="R639" s="9"/>
    </row>
    <row r="640">
      <c r="B640" s="125"/>
      <c r="C640" s="125"/>
      <c r="D640" s="125"/>
      <c r="E640" s="125"/>
      <c r="G640" s="9"/>
      <c r="H640" s="9"/>
      <c r="I640" s="9"/>
      <c r="J640" s="9"/>
      <c r="K640" s="9"/>
      <c r="L640" s="9"/>
      <c r="M640" s="32"/>
      <c r="N640" s="9"/>
      <c r="O640" s="9"/>
      <c r="P640" s="9"/>
      <c r="Q640" s="9"/>
      <c r="R640" s="9"/>
    </row>
    <row r="641">
      <c r="B641" s="125"/>
      <c r="C641" s="125"/>
      <c r="D641" s="125"/>
      <c r="E641" s="125"/>
      <c r="G641" s="9"/>
      <c r="H641" s="9"/>
      <c r="I641" s="9"/>
      <c r="J641" s="9"/>
      <c r="K641" s="9"/>
      <c r="L641" s="9"/>
      <c r="M641" s="32"/>
      <c r="N641" s="9"/>
      <c r="O641" s="9"/>
      <c r="P641" s="9"/>
      <c r="Q641" s="9"/>
      <c r="R641" s="9"/>
    </row>
    <row r="642">
      <c r="B642" s="125"/>
      <c r="C642" s="125"/>
      <c r="D642" s="125"/>
      <c r="E642" s="125"/>
      <c r="G642" s="9"/>
      <c r="H642" s="9"/>
      <c r="I642" s="9"/>
      <c r="J642" s="9"/>
      <c r="K642" s="9"/>
      <c r="L642" s="9"/>
      <c r="M642" s="32"/>
      <c r="N642" s="9"/>
      <c r="O642" s="9"/>
      <c r="P642" s="9"/>
      <c r="Q642" s="9"/>
      <c r="R642" s="9"/>
    </row>
    <row r="643">
      <c r="B643" s="125"/>
      <c r="C643" s="125"/>
      <c r="D643" s="125"/>
      <c r="E643" s="125"/>
      <c r="G643" s="9"/>
      <c r="H643" s="9"/>
      <c r="I643" s="9"/>
      <c r="J643" s="9"/>
      <c r="K643" s="9"/>
      <c r="L643" s="9"/>
      <c r="M643" s="32"/>
      <c r="N643" s="9"/>
      <c r="O643" s="9"/>
      <c r="P643" s="9"/>
      <c r="Q643" s="9"/>
      <c r="R643" s="9"/>
    </row>
    <row r="644">
      <c r="B644" s="125"/>
      <c r="C644" s="125"/>
      <c r="D644" s="125"/>
      <c r="E644" s="125"/>
      <c r="G644" s="9"/>
      <c r="H644" s="9"/>
      <c r="I644" s="9"/>
      <c r="J644" s="9"/>
      <c r="K644" s="9"/>
      <c r="L644" s="9"/>
      <c r="M644" s="32"/>
      <c r="N644" s="9"/>
      <c r="O644" s="9"/>
      <c r="P644" s="9"/>
      <c r="Q644" s="9"/>
      <c r="R644" s="9"/>
    </row>
    <row r="645">
      <c r="B645" s="125"/>
      <c r="C645" s="125"/>
      <c r="D645" s="125"/>
      <c r="E645" s="125"/>
      <c r="G645" s="9"/>
      <c r="H645" s="9"/>
      <c r="I645" s="9"/>
      <c r="J645" s="9"/>
      <c r="K645" s="9"/>
      <c r="L645" s="9"/>
      <c r="M645" s="32"/>
      <c r="N645" s="9"/>
      <c r="O645" s="9"/>
      <c r="P645" s="9"/>
      <c r="Q645" s="9"/>
      <c r="R645" s="9"/>
    </row>
    <row r="646">
      <c r="B646" s="125"/>
      <c r="C646" s="125"/>
      <c r="D646" s="125"/>
      <c r="E646" s="125"/>
      <c r="G646" s="9"/>
      <c r="H646" s="9"/>
      <c r="I646" s="9"/>
      <c r="J646" s="9"/>
      <c r="K646" s="9"/>
      <c r="L646" s="9"/>
      <c r="M646" s="32"/>
      <c r="N646" s="9"/>
      <c r="O646" s="9"/>
      <c r="P646" s="9"/>
      <c r="Q646" s="9"/>
      <c r="R646" s="9"/>
    </row>
    <row r="647">
      <c r="B647" s="125"/>
      <c r="C647" s="125"/>
      <c r="D647" s="125"/>
      <c r="E647" s="125"/>
      <c r="G647" s="9"/>
      <c r="H647" s="9"/>
      <c r="I647" s="9"/>
      <c r="J647" s="9"/>
      <c r="K647" s="9"/>
      <c r="L647" s="9"/>
      <c r="M647" s="32"/>
      <c r="N647" s="9"/>
      <c r="O647" s="9"/>
      <c r="P647" s="9"/>
      <c r="Q647" s="9"/>
      <c r="R647" s="9"/>
    </row>
    <row r="648">
      <c r="B648" s="125"/>
      <c r="C648" s="125"/>
      <c r="D648" s="125"/>
      <c r="E648" s="125"/>
      <c r="G648" s="9"/>
      <c r="H648" s="9"/>
      <c r="I648" s="9"/>
      <c r="J648" s="9"/>
      <c r="K648" s="9"/>
      <c r="L648" s="9"/>
      <c r="M648" s="32"/>
      <c r="N648" s="9"/>
      <c r="O648" s="9"/>
      <c r="P648" s="9"/>
      <c r="Q648" s="9"/>
      <c r="R648" s="9"/>
    </row>
    <row r="649">
      <c r="B649" s="125"/>
      <c r="C649" s="125"/>
      <c r="D649" s="125"/>
      <c r="E649" s="125"/>
      <c r="G649" s="9"/>
      <c r="H649" s="9"/>
      <c r="I649" s="9"/>
      <c r="J649" s="9"/>
      <c r="K649" s="9"/>
      <c r="L649" s="9"/>
      <c r="M649" s="32"/>
      <c r="N649" s="9"/>
      <c r="O649" s="9"/>
      <c r="P649" s="9"/>
      <c r="Q649" s="9"/>
      <c r="R649" s="9"/>
    </row>
    <row r="650">
      <c r="B650" s="125"/>
      <c r="C650" s="125"/>
      <c r="D650" s="125"/>
      <c r="E650" s="125"/>
      <c r="G650" s="9"/>
      <c r="H650" s="9"/>
      <c r="I650" s="9"/>
      <c r="J650" s="9"/>
      <c r="K650" s="9"/>
      <c r="L650" s="9"/>
      <c r="M650" s="32"/>
      <c r="N650" s="9"/>
      <c r="O650" s="9"/>
      <c r="P650" s="9"/>
      <c r="Q650" s="9"/>
      <c r="R650" s="9"/>
    </row>
    <row r="651">
      <c r="B651" s="125"/>
      <c r="C651" s="125"/>
      <c r="D651" s="125"/>
      <c r="E651" s="125"/>
      <c r="G651" s="9"/>
      <c r="H651" s="9"/>
      <c r="I651" s="9"/>
      <c r="J651" s="9"/>
      <c r="K651" s="9"/>
      <c r="L651" s="9"/>
      <c r="M651" s="32"/>
      <c r="N651" s="9"/>
      <c r="O651" s="9"/>
      <c r="P651" s="9"/>
      <c r="Q651" s="9"/>
      <c r="R651" s="9"/>
    </row>
    <row r="652">
      <c r="B652" s="125"/>
      <c r="C652" s="125"/>
      <c r="D652" s="125"/>
      <c r="E652" s="125"/>
      <c r="G652" s="9"/>
      <c r="H652" s="9"/>
      <c r="I652" s="9"/>
      <c r="J652" s="9"/>
      <c r="K652" s="9"/>
      <c r="L652" s="9"/>
      <c r="M652" s="32"/>
      <c r="N652" s="9"/>
      <c r="O652" s="9"/>
      <c r="P652" s="9"/>
      <c r="Q652" s="9"/>
      <c r="R652" s="9"/>
    </row>
    <row r="653">
      <c r="B653" s="125"/>
      <c r="C653" s="125"/>
      <c r="D653" s="125"/>
      <c r="E653" s="125"/>
      <c r="G653" s="9"/>
      <c r="H653" s="9"/>
      <c r="I653" s="9"/>
      <c r="J653" s="9"/>
      <c r="K653" s="9"/>
      <c r="L653" s="9"/>
      <c r="M653" s="32"/>
      <c r="N653" s="9"/>
      <c r="O653" s="9"/>
      <c r="P653" s="9"/>
      <c r="Q653" s="9"/>
      <c r="R653" s="9"/>
    </row>
    <row r="654">
      <c r="B654" s="125"/>
      <c r="C654" s="125"/>
      <c r="D654" s="125"/>
      <c r="E654" s="125"/>
      <c r="G654" s="9"/>
      <c r="H654" s="9"/>
      <c r="I654" s="9"/>
      <c r="J654" s="9"/>
      <c r="K654" s="9"/>
      <c r="L654" s="9"/>
      <c r="M654" s="32"/>
      <c r="N654" s="9"/>
      <c r="O654" s="9"/>
      <c r="P654" s="9"/>
      <c r="Q654" s="9"/>
      <c r="R654" s="9"/>
    </row>
    <row r="655">
      <c r="B655" s="125"/>
      <c r="C655" s="125"/>
      <c r="D655" s="125"/>
      <c r="E655" s="125"/>
      <c r="G655" s="9"/>
      <c r="H655" s="9"/>
      <c r="I655" s="9"/>
      <c r="J655" s="9"/>
      <c r="K655" s="9"/>
      <c r="L655" s="9"/>
      <c r="M655" s="32"/>
      <c r="N655" s="9"/>
      <c r="O655" s="9"/>
      <c r="P655" s="9"/>
      <c r="Q655" s="9"/>
      <c r="R655" s="9"/>
    </row>
    <row r="656">
      <c r="B656" s="125"/>
      <c r="C656" s="125"/>
      <c r="D656" s="125"/>
      <c r="E656" s="125"/>
      <c r="G656" s="9"/>
      <c r="H656" s="9"/>
      <c r="I656" s="9"/>
      <c r="J656" s="9"/>
      <c r="K656" s="9"/>
      <c r="L656" s="9"/>
      <c r="M656" s="32"/>
      <c r="N656" s="9"/>
      <c r="O656" s="9"/>
      <c r="P656" s="9"/>
      <c r="Q656" s="9"/>
      <c r="R656" s="9"/>
    </row>
    <row r="657">
      <c r="B657" s="125"/>
      <c r="C657" s="125"/>
      <c r="D657" s="125"/>
      <c r="E657" s="125"/>
      <c r="G657" s="9"/>
      <c r="H657" s="9"/>
      <c r="I657" s="9"/>
      <c r="J657" s="9"/>
      <c r="K657" s="9"/>
      <c r="L657" s="9"/>
      <c r="M657" s="32"/>
      <c r="N657" s="9"/>
      <c r="O657" s="9"/>
      <c r="P657" s="9"/>
      <c r="Q657" s="9"/>
      <c r="R657" s="9"/>
    </row>
    <row r="658">
      <c r="B658" s="125"/>
      <c r="C658" s="125"/>
      <c r="D658" s="125"/>
      <c r="E658" s="125"/>
      <c r="G658" s="9"/>
      <c r="H658" s="9"/>
      <c r="I658" s="9"/>
      <c r="J658" s="9"/>
      <c r="K658" s="9"/>
      <c r="L658" s="9"/>
      <c r="M658" s="32"/>
      <c r="N658" s="9"/>
      <c r="O658" s="9"/>
      <c r="P658" s="9"/>
      <c r="Q658" s="9"/>
      <c r="R658" s="9"/>
    </row>
    <row r="659">
      <c r="B659" s="125"/>
      <c r="C659" s="125"/>
      <c r="D659" s="125"/>
      <c r="E659" s="125"/>
      <c r="G659" s="9"/>
      <c r="H659" s="9"/>
      <c r="I659" s="9"/>
      <c r="J659" s="9"/>
      <c r="K659" s="9"/>
      <c r="L659" s="9"/>
      <c r="M659" s="32"/>
      <c r="N659" s="9"/>
      <c r="O659" s="9"/>
      <c r="P659" s="9"/>
      <c r="Q659" s="9"/>
      <c r="R659" s="9"/>
    </row>
    <row r="660">
      <c r="B660" s="125"/>
      <c r="C660" s="125"/>
      <c r="D660" s="125"/>
      <c r="E660" s="125"/>
      <c r="G660" s="9"/>
      <c r="H660" s="9"/>
      <c r="I660" s="9"/>
      <c r="J660" s="9"/>
      <c r="K660" s="9"/>
      <c r="L660" s="9"/>
      <c r="M660" s="32"/>
      <c r="N660" s="9"/>
      <c r="O660" s="9"/>
      <c r="P660" s="9"/>
      <c r="Q660" s="9"/>
      <c r="R660" s="9"/>
    </row>
    <row r="661">
      <c r="B661" s="125"/>
      <c r="C661" s="125"/>
      <c r="D661" s="125"/>
      <c r="E661" s="125"/>
      <c r="G661" s="9"/>
      <c r="H661" s="9"/>
      <c r="I661" s="9"/>
      <c r="J661" s="9"/>
      <c r="K661" s="9"/>
      <c r="L661" s="9"/>
      <c r="M661" s="32"/>
      <c r="N661" s="9"/>
      <c r="O661" s="9"/>
      <c r="P661" s="9"/>
      <c r="Q661" s="9"/>
      <c r="R661" s="9"/>
    </row>
    <row r="662">
      <c r="B662" s="125"/>
      <c r="C662" s="125"/>
      <c r="D662" s="125"/>
      <c r="E662" s="125"/>
      <c r="G662" s="9"/>
      <c r="H662" s="9"/>
      <c r="I662" s="9"/>
      <c r="J662" s="9"/>
      <c r="K662" s="9"/>
      <c r="L662" s="9"/>
      <c r="M662" s="32"/>
      <c r="N662" s="9"/>
      <c r="O662" s="9"/>
      <c r="P662" s="9"/>
      <c r="Q662" s="9"/>
      <c r="R662" s="9"/>
    </row>
    <row r="663">
      <c r="B663" s="125"/>
      <c r="C663" s="125"/>
      <c r="D663" s="125"/>
      <c r="E663" s="125"/>
      <c r="G663" s="9"/>
      <c r="H663" s="9"/>
      <c r="I663" s="9"/>
      <c r="J663" s="9"/>
      <c r="K663" s="9"/>
      <c r="L663" s="9"/>
      <c r="M663" s="32"/>
      <c r="N663" s="9"/>
      <c r="O663" s="9"/>
      <c r="P663" s="9"/>
      <c r="Q663" s="9"/>
      <c r="R663" s="9"/>
    </row>
    <row r="664">
      <c r="B664" s="125"/>
      <c r="C664" s="125"/>
      <c r="D664" s="125"/>
      <c r="E664" s="125"/>
      <c r="G664" s="9"/>
      <c r="H664" s="9"/>
      <c r="I664" s="9"/>
      <c r="J664" s="9"/>
      <c r="K664" s="9"/>
      <c r="L664" s="9"/>
      <c r="M664" s="32"/>
      <c r="N664" s="9"/>
      <c r="O664" s="9"/>
      <c r="P664" s="9"/>
      <c r="Q664" s="9"/>
      <c r="R664" s="9"/>
    </row>
    <row r="665">
      <c r="B665" s="125"/>
      <c r="C665" s="125"/>
      <c r="D665" s="125"/>
      <c r="E665" s="125"/>
      <c r="G665" s="9"/>
      <c r="H665" s="9"/>
      <c r="I665" s="9"/>
      <c r="J665" s="9"/>
      <c r="K665" s="9"/>
      <c r="L665" s="9"/>
      <c r="M665" s="32"/>
      <c r="N665" s="9"/>
      <c r="O665" s="9"/>
      <c r="P665" s="9"/>
      <c r="Q665" s="9"/>
      <c r="R665" s="9"/>
    </row>
    <row r="666">
      <c r="B666" s="125"/>
      <c r="C666" s="125"/>
      <c r="D666" s="125"/>
      <c r="E666" s="125"/>
      <c r="G666" s="9"/>
      <c r="H666" s="9"/>
      <c r="I666" s="9"/>
      <c r="J666" s="9"/>
      <c r="K666" s="9"/>
      <c r="L666" s="9"/>
      <c r="M666" s="32"/>
      <c r="N666" s="9"/>
      <c r="O666" s="9"/>
      <c r="P666" s="9"/>
      <c r="Q666" s="9"/>
      <c r="R666" s="9"/>
    </row>
    <row r="667">
      <c r="B667" s="125"/>
      <c r="C667" s="125"/>
      <c r="D667" s="125"/>
      <c r="E667" s="125"/>
      <c r="G667" s="9"/>
      <c r="H667" s="9"/>
      <c r="I667" s="9"/>
      <c r="J667" s="9"/>
      <c r="K667" s="9"/>
      <c r="L667" s="9"/>
      <c r="M667" s="32"/>
      <c r="N667" s="9"/>
      <c r="O667" s="9"/>
      <c r="P667" s="9"/>
      <c r="Q667" s="9"/>
      <c r="R667" s="9"/>
    </row>
    <row r="668">
      <c r="B668" s="125"/>
      <c r="C668" s="125"/>
      <c r="D668" s="125"/>
      <c r="E668" s="125"/>
      <c r="G668" s="9"/>
      <c r="H668" s="9"/>
      <c r="I668" s="9"/>
      <c r="J668" s="9"/>
      <c r="K668" s="9"/>
      <c r="L668" s="9"/>
      <c r="M668" s="32"/>
      <c r="N668" s="9"/>
      <c r="O668" s="9"/>
      <c r="P668" s="9"/>
      <c r="Q668" s="9"/>
      <c r="R668" s="9"/>
    </row>
    <row r="669">
      <c r="B669" s="125"/>
      <c r="C669" s="125"/>
      <c r="D669" s="125"/>
      <c r="E669" s="125"/>
      <c r="G669" s="9"/>
      <c r="H669" s="9"/>
      <c r="I669" s="9"/>
      <c r="J669" s="9"/>
      <c r="K669" s="9"/>
      <c r="L669" s="9"/>
      <c r="M669" s="32"/>
      <c r="N669" s="9"/>
      <c r="O669" s="9"/>
      <c r="P669" s="9"/>
      <c r="Q669" s="9"/>
      <c r="R669" s="9"/>
    </row>
    <row r="670">
      <c r="B670" s="125"/>
      <c r="C670" s="125"/>
      <c r="D670" s="125"/>
      <c r="E670" s="125"/>
      <c r="G670" s="9"/>
      <c r="H670" s="9"/>
      <c r="I670" s="9"/>
      <c r="J670" s="9"/>
      <c r="K670" s="9"/>
      <c r="L670" s="9"/>
      <c r="M670" s="32"/>
      <c r="N670" s="9"/>
      <c r="O670" s="9"/>
      <c r="P670" s="9"/>
      <c r="Q670" s="9"/>
      <c r="R670" s="9"/>
    </row>
    <row r="671">
      <c r="B671" s="125"/>
      <c r="C671" s="125"/>
      <c r="D671" s="125"/>
      <c r="E671" s="125"/>
      <c r="G671" s="9"/>
      <c r="H671" s="9"/>
      <c r="I671" s="9"/>
      <c r="J671" s="9"/>
      <c r="K671" s="9"/>
      <c r="L671" s="9"/>
      <c r="M671" s="32"/>
      <c r="N671" s="9"/>
      <c r="O671" s="9"/>
      <c r="P671" s="9"/>
      <c r="Q671" s="9"/>
      <c r="R671" s="9"/>
    </row>
    <row r="672">
      <c r="B672" s="125"/>
      <c r="C672" s="125"/>
      <c r="D672" s="125"/>
      <c r="E672" s="125"/>
      <c r="G672" s="9"/>
      <c r="H672" s="9"/>
      <c r="I672" s="9"/>
      <c r="J672" s="9"/>
      <c r="K672" s="9"/>
      <c r="L672" s="9"/>
      <c r="M672" s="32"/>
      <c r="N672" s="9"/>
      <c r="O672" s="9"/>
      <c r="P672" s="9"/>
      <c r="Q672" s="9"/>
      <c r="R672" s="9"/>
    </row>
    <row r="673">
      <c r="B673" s="125"/>
      <c r="C673" s="125"/>
      <c r="D673" s="125"/>
      <c r="E673" s="125"/>
      <c r="G673" s="9"/>
      <c r="H673" s="9"/>
      <c r="I673" s="9"/>
      <c r="J673" s="9"/>
      <c r="K673" s="9"/>
      <c r="L673" s="9"/>
      <c r="M673" s="32"/>
      <c r="N673" s="9"/>
      <c r="O673" s="9"/>
      <c r="P673" s="9"/>
      <c r="Q673" s="9"/>
      <c r="R673" s="9"/>
    </row>
    <row r="674">
      <c r="B674" s="125"/>
      <c r="C674" s="125"/>
      <c r="D674" s="125"/>
      <c r="E674" s="125"/>
      <c r="G674" s="9"/>
      <c r="H674" s="9"/>
      <c r="I674" s="9"/>
      <c r="J674" s="9"/>
      <c r="K674" s="9"/>
      <c r="L674" s="9"/>
      <c r="M674" s="32"/>
      <c r="N674" s="9"/>
      <c r="O674" s="9"/>
      <c r="P674" s="9"/>
      <c r="Q674" s="9"/>
      <c r="R674" s="9"/>
    </row>
    <row r="675">
      <c r="B675" s="125"/>
      <c r="C675" s="125"/>
      <c r="D675" s="125"/>
      <c r="E675" s="125"/>
      <c r="G675" s="9"/>
      <c r="H675" s="9"/>
      <c r="I675" s="9"/>
      <c r="J675" s="9"/>
      <c r="K675" s="9"/>
      <c r="L675" s="9"/>
      <c r="M675" s="32"/>
      <c r="N675" s="9"/>
      <c r="O675" s="9"/>
      <c r="P675" s="9"/>
      <c r="Q675" s="9"/>
      <c r="R675" s="9"/>
    </row>
    <row r="676">
      <c r="B676" s="125"/>
      <c r="C676" s="125"/>
      <c r="D676" s="125"/>
      <c r="E676" s="125"/>
      <c r="G676" s="9"/>
      <c r="H676" s="9"/>
      <c r="I676" s="9"/>
      <c r="J676" s="9"/>
      <c r="K676" s="9"/>
      <c r="L676" s="9"/>
      <c r="M676" s="32"/>
      <c r="N676" s="9"/>
      <c r="O676" s="9"/>
      <c r="P676" s="9"/>
      <c r="Q676" s="9"/>
      <c r="R676" s="9"/>
    </row>
    <row r="677">
      <c r="B677" s="125"/>
      <c r="C677" s="125"/>
      <c r="D677" s="125"/>
      <c r="E677" s="125"/>
      <c r="G677" s="9"/>
      <c r="H677" s="9"/>
      <c r="I677" s="9"/>
      <c r="J677" s="9"/>
      <c r="K677" s="9"/>
      <c r="L677" s="9"/>
      <c r="M677" s="32"/>
      <c r="N677" s="9"/>
      <c r="O677" s="9"/>
      <c r="P677" s="9"/>
      <c r="Q677" s="9"/>
      <c r="R677" s="9"/>
    </row>
    <row r="678">
      <c r="B678" s="125"/>
      <c r="C678" s="125"/>
      <c r="D678" s="125"/>
      <c r="E678" s="125"/>
      <c r="G678" s="9"/>
      <c r="H678" s="9"/>
      <c r="I678" s="9"/>
      <c r="J678" s="9"/>
      <c r="K678" s="9"/>
      <c r="L678" s="9"/>
      <c r="M678" s="32"/>
      <c r="N678" s="9"/>
      <c r="O678" s="9"/>
      <c r="P678" s="9"/>
      <c r="Q678" s="9"/>
      <c r="R678" s="9"/>
    </row>
    <row r="679">
      <c r="B679" s="125"/>
      <c r="C679" s="125"/>
      <c r="D679" s="125"/>
      <c r="E679" s="125"/>
      <c r="G679" s="9"/>
      <c r="H679" s="9"/>
      <c r="I679" s="9"/>
      <c r="J679" s="9"/>
      <c r="K679" s="9"/>
      <c r="L679" s="9"/>
      <c r="M679" s="32"/>
      <c r="N679" s="9"/>
      <c r="O679" s="9"/>
      <c r="P679" s="9"/>
      <c r="Q679" s="9"/>
      <c r="R679" s="9"/>
    </row>
    <row r="680">
      <c r="B680" s="125"/>
      <c r="C680" s="125"/>
      <c r="D680" s="125"/>
      <c r="E680" s="125"/>
      <c r="G680" s="9"/>
      <c r="H680" s="9"/>
      <c r="I680" s="9"/>
      <c r="J680" s="9"/>
      <c r="K680" s="9"/>
      <c r="L680" s="9"/>
      <c r="M680" s="32"/>
      <c r="N680" s="9"/>
      <c r="O680" s="9"/>
      <c r="P680" s="9"/>
      <c r="Q680" s="9"/>
      <c r="R680" s="9"/>
    </row>
    <row r="681">
      <c r="B681" s="125"/>
      <c r="C681" s="125"/>
      <c r="D681" s="125"/>
      <c r="E681" s="125"/>
      <c r="G681" s="9"/>
      <c r="H681" s="9"/>
      <c r="I681" s="9"/>
      <c r="J681" s="9"/>
      <c r="K681" s="9"/>
      <c r="L681" s="9"/>
      <c r="M681" s="32"/>
      <c r="N681" s="9"/>
      <c r="O681" s="9"/>
      <c r="P681" s="9"/>
      <c r="Q681" s="9"/>
      <c r="R681" s="9"/>
    </row>
    <row r="682">
      <c r="B682" s="125"/>
      <c r="C682" s="125"/>
      <c r="D682" s="125"/>
      <c r="E682" s="125"/>
      <c r="G682" s="9"/>
      <c r="H682" s="9"/>
      <c r="I682" s="9"/>
      <c r="J682" s="9"/>
      <c r="K682" s="9"/>
      <c r="L682" s="9"/>
      <c r="M682" s="32"/>
      <c r="N682" s="9"/>
      <c r="O682" s="9"/>
      <c r="P682" s="9"/>
      <c r="Q682" s="9"/>
      <c r="R682" s="9"/>
    </row>
    <row r="683">
      <c r="B683" s="125"/>
      <c r="C683" s="125"/>
      <c r="D683" s="125"/>
      <c r="E683" s="125"/>
      <c r="G683" s="9"/>
      <c r="H683" s="9"/>
      <c r="I683" s="9"/>
      <c r="J683" s="9"/>
      <c r="K683" s="9"/>
      <c r="L683" s="9"/>
      <c r="M683" s="32"/>
      <c r="N683" s="9"/>
      <c r="O683" s="9"/>
      <c r="P683" s="9"/>
      <c r="Q683" s="9"/>
      <c r="R683" s="9"/>
    </row>
    <row r="684">
      <c r="B684" s="125"/>
      <c r="C684" s="125"/>
      <c r="D684" s="125"/>
      <c r="E684" s="125"/>
      <c r="G684" s="9"/>
      <c r="H684" s="9"/>
      <c r="I684" s="9"/>
      <c r="J684" s="9"/>
      <c r="K684" s="9"/>
      <c r="L684" s="9"/>
      <c r="M684" s="32"/>
      <c r="N684" s="9"/>
      <c r="O684" s="9"/>
      <c r="P684" s="9"/>
      <c r="Q684" s="9"/>
      <c r="R684" s="9"/>
    </row>
    <row r="685">
      <c r="B685" s="125"/>
      <c r="C685" s="125"/>
      <c r="D685" s="125"/>
      <c r="E685" s="125"/>
      <c r="G685" s="9"/>
      <c r="H685" s="9"/>
      <c r="I685" s="9"/>
      <c r="J685" s="9"/>
      <c r="K685" s="9"/>
      <c r="L685" s="9"/>
      <c r="M685" s="32"/>
      <c r="N685" s="9"/>
      <c r="O685" s="9"/>
      <c r="P685" s="9"/>
      <c r="Q685" s="9"/>
      <c r="R685" s="9"/>
    </row>
    <row r="686">
      <c r="B686" s="125"/>
      <c r="C686" s="125"/>
      <c r="D686" s="125"/>
      <c r="E686" s="125"/>
      <c r="G686" s="9"/>
      <c r="H686" s="9"/>
      <c r="I686" s="9"/>
      <c r="J686" s="9"/>
      <c r="K686" s="9"/>
      <c r="L686" s="9"/>
      <c r="M686" s="32"/>
      <c r="N686" s="9"/>
      <c r="O686" s="9"/>
      <c r="P686" s="9"/>
      <c r="Q686" s="9"/>
      <c r="R686" s="9"/>
    </row>
    <row r="687">
      <c r="B687" s="125"/>
      <c r="C687" s="125"/>
      <c r="D687" s="125"/>
      <c r="E687" s="125"/>
      <c r="G687" s="9"/>
      <c r="H687" s="9"/>
      <c r="I687" s="9"/>
      <c r="J687" s="9"/>
      <c r="K687" s="9"/>
      <c r="L687" s="9"/>
      <c r="M687" s="32"/>
      <c r="N687" s="9"/>
      <c r="O687" s="9"/>
      <c r="P687" s="9"/>
      <c r="Q687" s="9"/>
      <c r="R687" s="9"/>
    </row>
    <row r="688">
      <c r="B688" s="125"/>
      <c r="C688" s="125"/>
      <c r="D688" s="125"/>
      <c r="E688" s="125"/>
      <c r="G688" s="9"/>
      <c r="H688" s="9"/>
      <c r="I688" s="9"/>
      <c r="J688" s="9"/>
      <c r="K688" s="9"/>
      <c r="L688" s="9"/>
      <c r="M688" s="32"/>
      <c r="N688" s="9"/>
      <c r="O688" s="9"/>
      <c r="P688" s="9"/>
      <c r="Q688" s="9"/>
      <c r="R688" s="9"/>
    </row>
    <row r="689">
      <c r="B689" s="125"/>
      <c r="C689" s="125"/>
      <c r="D689" s="125"/>
      <c r="E689" s="125"/>
      <c r="G689" s="9"/>
      <c r="H689" s="9"/>
      <c r="I689" s="9"/>
      <c r="J689" s="9"/>
      <c r="K689" s="9"/>
      <c r="L689" s="9"/>
      <c r="M689" s="32"/>
      <c r="N689" s="9"/>
      <c r="O689" s="9"/>
      <c r="P689" s="9"/>
      <c r="Q689" s="9"/>
      <c r="R689" s="9"/>
    </row>
    <row r="690">
      <c r="B690" s="125"/>
      <c r="C690" s="125"/>
      <c r="D690" s="125"/>
      <c r="E690" s="125"/>
      <c r="G690" s="9"/>
      <c r="H690" s="9"/>
      <c r="I690" s="9"/>
      <c r="J690" s="9"/>
      <c r="K690" s="9"/>
      <c r="L690" s="9"/>
      <c r="M690" s="32"/>
      <c r="N690" s="9"/>
      <c r="O690" s="9"/>
      <c r="P690" s="9"/>
      <c r="Q690" s="9"/>
      <c r="R690" s="9"/>
    </row>
    <row r="691">
      <c r="B691" s="125"/>
      <c r="C691" s="125"/>
      <c r="D691" s="125"/>
      <c r="E691" s="125"/>
      <c r="G691" s="9"/>
      <c r="H691" s="9"/>
      <c r="I691" s="9"/>
      <c r="J691" s="9"/>
      <c r="K691" s="9"/>
      <c r="L691" s="9"/>
      <c r="M691" s="32"/>
      <c r="N691" s="9"/>
      <c r="O691" s="9"/>
      <c r="P691" s="9"/>
      <c r="Q691" s="9"/>
      <c r="R691" s="9"/>
    </row>
    <row r="692">
      <c r="B692" s="125"/>
      <c r="C692" s="125"/>
      <c r="D692" s="125"/>
      <c r="E692" s="125"/>
      <c r="G692" s="9"/>
      <c r="H692" s="9"/>
      <c r="I692" s="9"/>
      <c r="J692" s="9"/>
      <c r="K692" s="9"/>
      <c r="L692" s="9"/>
      <c r="M692" s="32"/>
      <c r="N692" s="9"/>
      <c r="O692" s="9"/>
      <c r="P692" s="9"/>
      <c r="Q692" s="9"/>
      <c r="R692" s="9"/>
    </row>
    <row r="693">
      <c r="B693" s="125"/>
      <c r="C693" s="125"/>
      <c r="D693" s="125"/>
      <c r="E693" s="125"/>
      <c r="G693" s="9"/>
      <c r="H693" s="9"/>
      <c r="I693" s="9"/>
      <c r="J693" s="9"/>
      <c r="K693" s="9"/>
      <c r="L693" s="9"/>
      <c r="M693" s="32"/>
      <c r="N693" s="9"/>
      <c r="O693" s="9"/>
      <c r="P693" s="9"/>
      <c r="Q693" s="9"/>
      <c r="R693" s="9"/>
    </row>
    <row r="694">
      <c r="B694" s="125"/>
      <c r="C694" s="125"/>
      <c r="D694" s="125"/>
      <c r="E694" s="125"/>
      <c r="G694" s="9"/>
      <c r="H694" s="9"/>
      <c r="I694" s="9"/>
      <c r="J694" s="9"/>
      <c r="K694" s="9"/>
      <c r="L694" s="9"/>
      <c r="M694" s="32"/>
      <c r="N694" s="9"/>
      <c r="O694" s="9"/>
      <c r="P694" s="9"/>
      <c r="Q694" s="9"/>
      <c r="R694" s="9"/>
    </row>
    <row r="695">
      <c r="B695" s="125"/>
      <c r="C695" s="125"/>
      <c r="D695" s="125"/>
      <c r="E695" s="125"/>
      <c r="G695" s="9"/>
      <c r="H695" s="9"/>
      <c r="I695" s="9"/>
      <c r="J695" s="9"/>
      <c r="K695" s="9"/>
      <c r="L695" s="9"/>
      <c r="M695" s="32"/>
      <c r="N695" s="9"/>
      <c r="O695" s="9"/>
      <c r="P695" s="9"/>
      <c r="Q695" s="9"/>
      <c r="R695" s="9"/>
    </row>
    <row r="696">
      <c r="B696" s="125"/>
      <c r="C696" s="125"/>
      <c r="D696" s="125"/>
      <c r="E696" s="125"/>
      <c r="G696" s="9"/>
      <c r="H696" s="9"/>
      <c r="I696" s="9"/>
      <c r="J696" s="9"/>
      <c r="K696" s="9"/>
      <c r="L696" s="9"/>
      <c r="M696" s="32"/>
      <c r="N696" s="9"/>
      <c r="O696" s="9"/>
      <c r="P696" s="9"/>
      <c r="Q696" s="9"/>
      <c r="R696" s="9"/>
    </row>
    <row r="697">
      <c r="B697" s="125"/>
      <c r="C697" s="125"/>
      <c r="D697" s="125"/>
      <c r="E697" s="125"/>
      <c r="G697" s="9"/>
      <c r="H697" s="9"/>
      <c r="I697" s="9"/>
      <c r="J697" s="9"/>
      <c r="K697" s="9"/>
      <c r="L697" s="9"/>
      <c r="M697" s="32"/>
      <c r="N697" s="9"/>
      <c r="O697" s="9"/>
      <c r="P697" s="9"/>
      <c r="Q697" s="9"/>
      <c r="R697" s="9"/>
    </row>
    <row r="698">
      <c r="B698" s="125"/>
      <c r="C698" s="125"/>
      <c r="D698" s="125"/>
      <c r="E698" s="125"/>
      <c r="G698" s="9"/>
      <c r="H698" s="9"/>
      <c r="I698" s="9"/>
      <c r="J698" s="9"/>
      <c r="K698" s="9"/>
      <c r="L698" s="9"/>
      <c r="M698" s="32"/>
      <c r="N698" s="9"/>
      <c r="O698" s="9"/>
      <c r="P698" s="9"/>
      <c r="Q698" s="9"/>
      <c r="R698" s="9"/>
    </row>
    <row r="699">
      <c r="B699" s="125"/>
      <c r="C699" s="125"/>
      <c r="D699" s="125"/>
      <c r="E699" s="125"/>
      <c r="G699" s="9"/>
      <c r="H699" s="9"/>
      <c r="I699" s="9"/>
      <c r="J699" s="9"/>
      <c r="K699" s="9"/>
      <c r="L699" s="9"/>
      <c r="M699" s="32"/>
      <c r="N699" s="9"/>
      <c r="O699" s="9"/>
      <c r="P699" s="9"/>
      <c r="Q699" s="9"/>
      <c r="R699" s="9"/>
    </row>
    <row r="700">
      <c r="B700" s="125"/>
      <c r="C700" s="125"/>
      <c r="D700" s="125"/>
      <c r="E700" s="125"/>
      <c r="G700" s="9"/>
      <c r="H700" s="9"/>
      <c r="I700" s="9"/>
      <c r="J700" s="9"/>
      <c r="K700" s="9"/>
      <c r="L700" s="9"/>
      <c r="M700" s="32"/>
      <c r="N700" s="9"/>
      <c r="O700" s="9"/>
      <c r="P700" s="9"/>
      <c r="Q700" s="9"/>
      <c r="R700" s="9"/>
    </row>
    <row r="701">
      <c r="B701" s="125"/>
      <c r="C701" s="125"/>
      <c r="D701" s="125"/>
      <c r="E701" s="125"/>
      <c r="G701" s="9"/>
      <c r="H701" s="9"/>
      <c r="I701" s="9"/>
      <c r="J701" s="9"/>
      <c r="K701" s="9"/>
      <c r="L701" s="9"/>
      <c r="M701" s="32"/>
      <c r="N701" s="9"/>
      <c r="O701" s="9"/>
      <c r="P701" s="9"/>
      <c r="Q701" s="9"/>
      <c r="R701" s="9"/>
    </row>
    <row r="702">
      <c r="B702" s="125"/>
      <c r="C702" s="125"/>
      <c r="D702" s="125"/>
      <c r="E702" s="125"/>
      <c r="G702" s="9"/>
      <c r="H702" s="9"/>
      <c r="I702" s="9"/>
      <c r="J702" s="9"/>
      <c r="K702" s="9"/>
      <c r="L702" s="9"/>
      <c r="M702" s="32"/>
      <c r="N702" s="9"/>
      <c r="O702" s="9"/>
      <c r="P702" s="9"/>
      <c r="Q702" s="9"/>
      <c r="R702" s="9"/>
    </row>
    <row r="703">
      <c r="B703" s="125"/>
      <c r="C703" s="125"/>
      <c r="D703" s="125"/>
      <c r="E703" s="125"/>
      <c r="G703" s="9"/>
      <c r="H703" s="9"/>
      <c r="I703" s="9"/>
      <c r="J703" s="9"/>
      <c r="K703" s="9"/>
      <c r="L703" s="9"/>
      <c r="M703" s="32"/>
      <c r="N703" s="9"/>
      <c r="O703" s="9"/>
      <c r="P703" s="9"/>
      <c r="Q703" s="9"/>
      <c r="R703" s="9"/>
    </row>
    <row r="704">
      <c r="B704" s="125"/>
      <c r="C704" s="125"/>
      <c r="D704" s="125"/>
      <c r="E704" s="125"/>
      <c r="G704" s="9"/>
      <c r="H704" s="9"/>
      <c r="I704" s="9"/>
      <c r="J704" s="9"/>
      <c r="K704" s="9"/>
      <c r="L704" s="9"/>
      <c r="M704" s="32"/>
      <c r="N704" s="9"/>
      <c r="O704" s="9"/>
      <c r="P704" s="9"/>
      <c r="Q704" s="9"/>
      <c r="R704" s="9"/>
    </row>
    <row r="705">
      <c r="B705" s="125"/>
      <c r="C705" s="125"/>
      <c r="D705" s="125"/>
      <c r="E705" s="125"/>
      <c r="G705" s="9"/>
      <c r="H705" s="9"/>
      <c r="I705" s="9"/>
      <c r="J705" s="9"/>
      <c r="K705" s="9"/>
      <c r="L705" s="9"/>
      <c r="M705" s="32"/>
      <c r="N705" s="9"/>
      <c r="O705" s="9"/>
      <c r="P705" s="9"/>
      <c r="Q705" s="9"/>
      <c r="R705" s="9"/>
    </row>
    <row r="706">
      <c r="B706" s="125"/>
      <c r="C706" s="125"/>
      <c r="D706" s="125"/>
      <c r="E706" s="125"/>
      <c r="G706" s="9"/>
      <c r="H706" s="9"/>
      <c r="I706" s="9"/>
      <c r="J706" s="9"/>
      <c r="K706" s="9"/>
      <c r="L706" s="9"/>
      <c r="M706" s="32"/>
      <c r="N706" s="9"/>
      <c r="O706" s="9"/>
      <c r="P706" s="9"/>
      <c r="Q706" s="9"/>
      <c r="R706" s="9"/>
    </row>
    <row r="707">
      <c r="B707" s="125"/>
      <c r="C707" s="125"/>
      <c r="D707" s="125"/>
      <c r="E707" s="125"/>
      <c r="G707" s="9"/>
      <c r="H707" s="9"/>
      <c r="I707" s="9"/>
      <c r="J707" s="9"/>
      <c r="K707" s="9"/>
      <c r="L707" s="9"/>
      <c r="M707" s="32"/>
      <c r="N707" s="9"/>
      <c r="O707" s="9"/>
      <c r="P707" s="9"/>
      <c r="Q707" s="9"/>
      <c r="R707" s="9"/>
    </row>
    <row r="708">
      <c r="B708" s="125"/>
      <c r="C708" s="125"/>
      <c r="D708" s="125"/>
      <c r="E708" s="125"/>
      <c r="G708" s="9"/>
      <c r="H708" s="9"/>
      <c r="I708" s="9"/>
      <c r="J708" s="9"/>
      <c r="K708" s="9"/>
      <c r="L708" s="9"/>
      <c r="M708" s="32"/>
      <c r="N708" s="9"/>
      <c r="O708" s="9"/>
      <c r="P708" s="9"/>
      <c r="Q708" s="9"/>
      <c r="R708" s="9"/>
    </row>
    <row r="709">
      <c r="B709" s="125"/>
      <c r="C709" s="125"/>
      <c r="D709" s="125"/>
      <c r="E709" s="125"/>
      <c r="G709" s="9"/>
      <c r="H709" s="9"/>
      <c r="I709" s="9"/>
      <c r="J709" s="9"/>
      <c r="K709" s="9"/>
      <c r="L709" s="9"/>
      <c r="M709" s="32"/>
      <c r="N709" s="9"/>
      <c r="O709" s="9"/>
      <c r="P709" s="9"/>
      <c r="Q709" s="9"/>
      <c r="R709" s="9"/>
    </row>
    <row r="710">
      <c r="B710" s="125"/>
      <c r="C710" s="125"/>
      <c r="D710" s="125"/>
      <c r="E710" s="125"/>
      <c r="G710" s="9"/>
      <c r="H710" s="9"/>
      <c r="I710" s="9"/>
      <c r="J710" s="9"/>
      <c r="K710" s="9"/>
      <c r="L710" s="9"/>
      <c r="M710" s="32"/>
      <c r="N710" s="9"/>
      <c r="O710" s="9"/>
      <c r="P710" s="9"/>
      <c r="Q710" s="9"/>
      <c r="R710" s="9"/>
    </row>
    <row r="711">
      <c r="B711" s="125"/>
      <c r="C711" s="125"/>
      <c r="D711" s="125"/>
      <c r="E711" s="125"/>
      <c r="G711" s="9"/>
      <c r="H711" s="9"/>
      <c r="I711" s="9"/>
      <c r="J711" s="9"/>
      <c r="K711" s="9"/>
      <c r="L711" s="9"/>
      <c r="M711" s="32"/>
      <c r="N711" s="9"/>
      <c r="O711" s="9"/>
      <c r="P711" s="9"/>
      <c r="Q711" s="9"/>
      <c r="R711" s="9"/>
    </row>
    <row r="712">
      <c r="B712" s="125"/>
      <c r="C712" s="125"/>
      <c r="D712" s="125"/>
      <c r="E712" s="125"/>
      <c r="G712" s="9"/>
      <c r="H712" s="9"/>
      <c r="I712" s="9"/>
      <c r="J712" s="9"/>
      <c r="K712" s="9"/>
      <c r="L712" s="9"/>
      <c r="M712" s="32"/>
      <c r="N712" s="9"/>
      <c r="O712" s="9"/>
      <c r="P712" s="9"/>
      <c r="Q712" s="9"/>
      <c r="R712" s="9"/>
    </row>
    <row r="713">
      <c r="B713" s="125"/>
      <c r="C713" s="125"/>
      <c r="D713" s="125"/>
      <c r="E713" s="125"/>
      <c r="G713" s="9"/>
      <c r="H713" s="9"/>
      <c r="I713" s="9"/>
      <c r="J713" s="9"/>
      <c r="K713" s="9"/>
      <c r="L713" s="9"/>
      <c r="M713" s="32"/>
      <c r="N713" s="9"/>
      <c r="O713" s="9"/>
      <c r="P713" s="9"/>
      <c r="Q713" s="9"/>
      <c r="R713" s="9"/>
    </row>
    <row r="714">
      <c r="B714" s="125"/>
      <c r="C714" s="125"/>
      <c r="D714" s="125"/>
      <c r="E714" s="125"/>
      <c r="G714" s="9"/>
      <c r="H714" s="9"/>
      <c r="I714" s="9"/>
      <c r="J714" s="9"/>
      <c r="K714" s="9"/>
      <c r="L714" s="9"/>
      <c r="M714" s="32"/>
      <c r="N714" s="9"/>
      <c r="O714" s="9"/>
      <c r="P714" s="9"/>
      <c r="Q714" s="9"/>
      <c r="R714" s="9"/>
    </row>
    <row r="715">
      <c r="B715" s="125"/>
      <c r="C715" s="125"/>
      <c r="D715" s="125"/>
      <c r="E715" s="125"/>
      <c r="G715" s="9"/>
      <c r="H715" s="9"/>
      <c r="I715" s="9"/>
      <c r="J715" s="9"/>
      <c r="K715" s="9"/>
      <c r="L715" s="9"/>
      <c r="M715" s="32"/>
      <c r="N715" s="9"/>
      <c r="O715" s="9"/>
      <c r="P715" s="9"/>
      <c r="Q715" s="9"/>
      <c r="R715" s="9"/>
    </row>
    <row r="716">
      <c r="B716" s="125"/>
      <c r="C716" s="125"/>
      <c r="D716" s="125"/>
      <c r="E716" s="125"/>
      <c r="G716" s="9"/>
      <c r="H716" s="9"/>
      <c r="I716" s="9"/>
      <c r="J716" s="9"/>
      <c r="K716" s="9"/>
      <c r="L716" s="9"/>
      <c r="M716" s="32"/>
      <c r="N716" s="9"/>
      <c r="O716" s="9"/>
      <c r="P716" s="9"/>
      <c r="Q716" s="9"/>
      <c r="R716" s="9"/>
    </row>
    <row r="717">
      <c r="B717" s="125"/>
      <c r="C717" s="125"/>
      <c r="D717" s="125"/>
      <c r="E717" s="125"/>
      <c r="G717" s="9"/>
      <c r="H717" s="9"/>
      <c r="I717" s="9"/>
      <c r="J717" s="9"/>
      <c r="K717" s="9"/>
      <c r="L717" s="9"/>
      <c r="M717" s="32"/>
      <c r="N717" s="9"/>
      <c r="O717" s="9"/>
      <c r="P717" s="9"/>
      <c r="Q717" s="9"/>
      <c r="R717" s="9"/>
    </row>
    <row r="718">
      <c r="B718" s="125"/>
      <c r="C718" s="125"/>
      <c r="D718" s="125"/>
      <c r="E718" s="125"/>
      <c r="G718" s="9"/>
      <c r="H718" s="9"/>
      <c r="I718" s="9"/>
      <c r="J718" s="9"/>
      <c r="K718" s="9"/>
      <c r="L718" s="9"/>
      <c r="M718" s="32"/>
      <c r="N718" s="9"/>
      <c r="O718" s="9"/>
      <c r="P718" s="9"/>
      <c r="Q718" s="9"/>
      <c r="R718" s="9"/>
    </row>
    <row r="719">
      <c r="B719" s="125"/>
      <c r="C719" s="125"/>
      <c r="D719" s="125"/>
      <c r="E719" s="125"/>
      <c r="G719" s="9"/>
      <c r="H719" s="9"/>
      <c r="I719" s="9"/>
      <c r="J719" s="9"/>
      <c r="K719" s="9"/>
      <c r="L719" s="9"/>
      <c r="M719" s="32"/>
      <c r="N719" s="9"/>
      <c r="O719" s="9"/>
      <c r="P719" s="9"/>
      <c r="Q719" s="9"/>
      <c r="R719" s="9"/>
    </row>
    <row r="720">
      <c r="B720" s="125"/>
      <c r="C720" s="125"/>
      <c r="D720" s="125"/>
      <c r="E720" s="125"/>
      <c r="G720" s="9"/>
      <c r="H720" s="9"/>
      <c r="I720" s="9"/>
      <c r="J720" s="9"/>
      <c r="K720" s="9"/>
      <c r="L720" s="9"/>
      <c r="M720" s="32"/>
      <c r="N720" s="9"/>
      <c r="O720" s="9"/>
      <c r="P720" s="9"/>
      <c r="Q720" s="9"/>
      <c r="R720" s="9"/>
    </row>
    <row r="721">
      <c r="B721" s="125"/>
      <c r="C721" s="125"/>
      <c r="D721" s="125"/>
      <c r="E721" s="125"/>
      <c r="G721" s="9"/>
      <c r="H721" s="9"/>
      <c r="I721" s="9"/>
      <c r="J721" s="9"/>
      <c r="K721" s="9"/>
      <c r="L721" s="9"/>
      <c r="M721" s="32"/>
      <c r="N721" s="9"/>
      <c r="O721" s="9"/>
      <c r="P721" s="9"/>
      <c r="Q721" s="9"/>
      <c r="R721" s="9"/>
    </row>
    <row r="722">
      <c r="B722" s="125"/>
      <c r="C722" s="125"/>
      <c r="D722" s="125"/>
      <c r="E722" s="125"/>
      <c r="G722" s="9"/>
      <c r="H722" s="9"/>
      <c r="I722" s="9"/>
      <c r="J722" s="9"/>
      <c r="K722" s="9"/>
      <c r="L722" s="9"/>
      <c r="M722" s="32"/>
      <c r="N722" s="9"/>
      <c r="O722" s="9"/>
      <c r="P722" s="9"/>
      <c r="Q722" s="9"/>
      <c r="R722" s="9"/>
    </row>
    <row r="723">
      <c r="B723" s="125"/>
      <c r="C723" s="125"/>
      <c r="D723" s="125"/>
      <c r="E723" s="125"/>
      <c r="G723" s="9"/>
      <c r="H723" s="9"/>
      <c r="I723" s="9"/>
      <c r="J723" s="9"/>
      <c r="K723" s="9"/>
      <c r="L723" s="9"/>
      <c r="M723" s="32"/>
      <c r="N723" s="9"/>
      <c r="O723" s="9"/>
      <c r="P723" s="9"/>
      <c r="Q723" s="9"/>
      <c r="R723" s="9"/>
    </row>
    <row r="724">
      <c r="B724" s="125"/>
      <c r="C724" s="125"/>
      <c r="D724" s="125"/>
      <c r="E724" s="125"/>
      <c r="G724" s="9"/>
      <c r="H724" s="9"/>
      <c r="I724" s="9"/>
      <c r="J724" s="9"/>
      <c r="K724" s="9"/>
      <c r="L724" s="9"/>
      <c r="M724" s="32"/>
      <c r="N724" s="9"/>
      <c r="O724" s="9"/>
      <c r="P724" s="9"/>
      <c r="Q724" s="9"/>
      <c r="R724" s="9"/>
    </row>
    <row r="725">
      <c r="B725" s="125"/>
      <c r="C725" s="125"/>
      <c r="D725" s="125"/>
      <c r="E725" s="125"/>
      <c r="G725" s="9"/>
      <c r="H725" s="9"/>
      <c r="I725" s="9"/>
      <c r="J725" s="9"/>
      <c r="K725" s="9"/>
      <c r="L725" s="9"/>
      <c r="M725" s="32"/>
      <c r="N725" s="9"/>
      <c r="O725" s="9"/>
      <c r="P725" s="9"/>
      <c r="Q725" s="9"/>
      <c r="R725" s="9"/>
    </row>
    <row r="726">
      <c r="B726" s="125"/>
      <c r="C726" s="125"/>
      <c r="D726" s="125"/>
      <c r="E726" s="125"/>
      <c r="G726" s="9"/>
      <c r="H726" s="9"/>
      <c r="I726" s="9"/>
      <c r="J726" s="9"/>
      <c r="K726" s="9"/>
      <c r="L726" s="9"/>
      <c r="M726" s="32"/>
      <c r="N726" s="9"/>
      <c r="O726" s="9"/>
      <c r="P726" s="9"/>
      <c r="Q726" s="9"/>
      <c r="R726" s="9"/>
    </row>
    <row r="727">
      <c r="B727" s="125"/>
      <c r="C727" s="125"/>
      <c r="D727" s="125"/>
      <c r="E727" s="125"/>
      <c r="G727" s="9"/>
      <c r="H727" s="9"/>
      <c r="I727" s="9"/>
      <c r="J727" s="9"/>
      <c r="K727" s="9"/>
      <c r="L727" s="9"/>
      <c r="M727" s="32"/>
      <c r="N727" s="9"/>
      <c r="O727" s="9"/>
      <c r="P727" s="9"/>
      <c r="Q727" s="9"/>
      <c r="R727" s="9"/>
    </row>
    <row r="728">
      <c r="B728" s="125"/>
      <c r="C728" s="125"/>
      <c r="D728" s="125"/>
      <c r="E728" s="125"/>
      <c r="G728" s="9"/>
      <c r="H728" s="9"/>
      <c r="I728" s="9"/>
      <c r="J728" s="9"/>
      <c r="K728" s="9"/>
      <c r="L728" s="9"/>
      <c r="M728" s="32"/>
      <c r="N728" s="9"/>
      <c r="O728" s="9"/>
      <c r="P728" s="9"/>
      <c r="Q728" s="9"/>
      <c r="R728" s="9"/>
    </row>
    <row r="729">
      <c r="B729" s="125"/>
      <c r="C729" s="125"/>
      <c r="D729" s="125"/>
      <c r="E729" s="125"/>
      <c r="G729" s="9"/>
      <c r="H729" s="9"/>
      <c r="I729" s="9"/>
      <c r="J729" s="9"/>
      <c r="K729" s="9"/>
      <c r="L729" s="9"/>
      <c r="M729" s="32"/>
      <c r="N729" s="9"/>
      <c r="O729" s="9"/>
      <c r="P729" s="9"/>
      <c r="Q729" s="9"/>
      <c r="R729" s="9"/>
    </row>
    <row r="730">
      <c r="B730" s="125"/>
      <c r="C730" s="125"/>
      <c r="D730" s="125"/>
      <c r="E730" s="125"/>
      <c r="G730" s="9"/>
      <c r="H730" s="9"/>
      <c r="I730" s="9"/>
      <c r="J730" s="9"/>
      <c r="K730" s="9"/>
      <c r="L730" s="9"/>
      <c r="M730" s="32"/>
      <c r="N730" s="9"/>
      <c r="O730" s="9"/>
      <c r="P730" s="9"/>
      <c r="Q730" s="9"/>
      <c r="R730" s="9"/>
    </row>
    <row r="731">
      <c r="B731" s="125"/>
      <c r="C731" s="125"/>
      <c r="D731" s="125"/>
      <c r="E731" s="125"/>
      <c r="G731" s="9"/>
      <c r="H731" s="9"/>
      <c r="I731" s="9"/>
      <c r="J731" s="9"/>
      <c r="K731" s="9"/>
      <c r="L731" s="9"/>
      <c r="M731" s="32"/>
      <c r="N731" s="9"/>
      <c r="O731" s="9"/>
      <c r="P731" s="9"/>
      <c r="Q731" s="9"/>
      <c r="R731" s="9"/>
    </row>
    <row r="732">
      <c r="B732" s="125"/>
      <c r="C732" s="125"/>
      <c r="D732" s="125"/>
      <c r="E732" s="125"/>
      <c r="G732" s="9"/>
      <c r="H732" s="9"/>
      <c r="I732" s="9"/>
      <c r="J732" s="9"/>
      <c r="K732" s="9"/>
      <c r="L732" s="9"/>
      <c r="M732" s="32"/>
      <c r="N732" s="9"/>
      <c r="O732" s="9"/>
      <c r="P732" s="9"/>
      <c r="Q732" s="9"/>
      <c r="R732" s="9"/>
    </row>
    <row r="733">
      <c r="B733" s="125"/>
      <c r="C733" s="125"/>
      <c r="D733" s="125"/>
      <c r="E733" s="125"/>
      <c r="G733" s="9"/>
      <c r="H733" s="9"/>
      <c r="I733" s="9"/>
      <c r="J733" s="9"/>
      <c r="K733" s="9"/>
      <c r="L733" s="9"/>
      <c r="M733" s="32"/>
      <c r="N733" s="9"/>
      <c r="O733" s="9"/>
      <c r="P733" s="9"/>
      <c r="Q733" s="9"/>
      <c r="R733" s="9"/>
    </row>
    <row r="734">
      <c r="B734" s="125"/>
      <c r="C734" s="125"/>
      <c r="D734" s="125"/>
      <c r="E734" s="125"/>
      <c r="G734" s="9"/>
      <c r="H734" s="9"/>
      <c r="I734" s="9"/>
      <c r="J734" s="9"/>
      <c r="K734" s="9"/>
      <c r="L734" s="9"/>
      <c r="M734" s="32"/>
      <c r="N734" s="9"/>
      <c r="O734" s="9"/>
      <c r="P734" s="9"/>
      <c r="Q734" s="9"/>
      <c r="R734" s="9"/>
    </row>
    <row r="735">
      <c r="B735" s="125"/>
      <c r="C735" s="125"/>
      <c r="D735" s="125"/>
      <c r="E735" s="125"/>
      <c r="G735" s="9"/>
      <c r="H735" s="9"/>
      <c r="I735" s="9"/>
      <c r="J735" s="9"/>
      <c r="K735" s="9"/>
      <c r="L735" s="9"/>
      <c r="M735" s="32"/>
      <c r="N735" s="9"/>
      <c r="O735" s="9"/>
      <c r="P735" s="9"/>
      <c r="Q735" s="9"/>
      <c r="R735" s="9"/>
    </row>
    <row r="736">
      <c r="B736" s="125"/>
      <c r="C736" s="125"/>
      <c r="D736" s="125"/>
      <c r="E736" s="125"/>
      <c r="G736" s="9"/>
      <c r="H736" s="9"/>
      <c r="I736" s="9"/>
      <c r="J736" s="9"/>
      <c r="K736" s="9"/>
      <c r="L736" s="9"/>
      <c r="M736" s="32"/>
      <c r="N736" s="9"/>
      <c r="O736" s="9"/>
      <c r="P736" s="9"/>
      <c r="Q736" s="9"/>
      <c r="R736" s="9"/>
    </row>
    <row r="737">
      <c r="B737" s="125"/>
      <c r="C737" s="125"/>
      <c r="D737" s="125"/>
      <c r="E737" s="125"/>
      <c r="G737" s="9"/>
      <c r="H737" s="9"/>
      <c r="I737" s="9"/>
      <c r="J737" s="9"/>
      <c r="K737" s="9"/>
      <c r="L737" s="9"/>
      <c r="M737" s="32"/>
      <c r="N737" s="9"/>
      <c r="O737" s="9"/>
      <c r="P737" s="9"/>
      <c r="Q737" s="9"/>
      <c r="R737" s="9"/>
    </row>
    <row r="738">
      <c r="B738" s="125"/>
      <c r="C738" s="125"/>
      <c r="D738" s="125"/>
      <c r="E738" s="125"/>
      <c r="G738" s="9"/>
      <c r="H738" s="9"/>
      <c r="I738" s="9"/>
      <c r="J738" s="9"/>
      <c r="K738" s="9"/>
      <c r="L738" s="9"/>
      <c r="M738" s="32"/>
      <c r="N738" s="9"/>
      <c r="O738" s="9"/>
      <c r="P738" s="9"/>
      <c r="Q738" s="9"/>
      <c r="R738" s="9"/>
    </row>
    <row r="739">
      <c r="B739" s="125"/>
      <c r="C739" s="125"/>
      <c r="D739" s="125"/>
      <c r="E739" s="125"/>
      <c r="G739" s="9"/>
      <c r="H739" s="9"/>
      <c r="I739" s="9"/>
      <c r="J739" s="9"/>
      <c r="K739" s="9"/>
      <c r="L739" s="9"/>
      <c r="M739" s="32"/>
      <c r="N739" s="9"/>
      <c r="O739" s="9"/>
      <c r="P739" s="9"/>
      <c r="Q739" s="9"/>
      <c r="R739" s="9"/>
    </row>
    <row r="740">
      <c r="B740" s="125"/>
      <c r="C740" s="125"/>
      <c r="D740" s="125"/>
      <c r="E740" s="125"/>
      <c r="G740" s="9"/>
      <c r="H740" s="9"/>
      <c r="I740" s="9"/>
      <c r="J740" s="9"/>
      <c r="K740" s="9"/>
      <c r="L740" s="9"/>
      <c r="M740" s="32"/>
      <c r="N740" s="9"/>
      <c r="O740" s="9"/>
      <c r="P740" s="9"/>
      <c r="Q740" s="9"/>
      <c r="R740" s="9"/>
    </row>
    <row r="741">
      <c r="B741" s="125"/>
      <c r="C741" s="125"/>
      <c r="D741" s="125"/>
      <c r="E741" s="125"/>
      <c r="G741" s="9"/>
      <c r="H741" s="9"/>
      <c r="I741" s="9"/>
      <c r="J741" s="9"/>
      <c r="K741" s="9"/>
      <c r="L741" s="9"/>
      <c r="M741" s="32"/>
      <c r="N741" s="9"/>
      <c r="O741" s="9"/>
      <c r="P741" s="9"/>
      <c r="Q741" s="9"/>
      <c r="R741" s="9"/>
    </row>
    <row r="742">
      <c r="B742" s="125"/>
      <c r="C742" s="125"/>
      <c r="D742" s="125"/>
      <c r="E742" s="125"/>
      <c r="G742" s="9"/>
      <c r="H742" s="9"/>
      <c r="I742" s="9"/>
      <c r="J742" s="9"/>
      <c r="K742" s="9"/>
      <c r="L742" s="9"/>
      <c r="M742" s="32"/>
      <c r="N742" s="9"/>
      <c r="O742" s="9"/>
      <c r="P742" s="9"/>
      <c r="Q742" s="9"/>
      <c r="R742" s="9"/>
    </row>
    <row r="743">
      <c r="B743" s="125"/>
      <c r="C743" s="125"/>
      <c r="D743" s="125"/>
      <c r="E743" s="125"/>
      <c r="G743" s="9"/>
      <c r="H743" s="9"/>
      <c r="I743" s="9"/>
      <c r="J743" s="9"/>
      <c r="K743" s="9"/>
      <c r="L743" s="9"/>
      <c r="M743" s="32"/>
      <c r="N743" s="9"/>
      <c r="O743" s="9"/>
      <c r="P743" s="9"/>
      <c r="Q743" s="9"/>
      <c r="R743" s="9"/>
    </row>
    <row r="744">
      <c r="B744" s="125"/>
      <c r="C744" s="125"/>
      <c r="D744" s="125"/>
      <c r="E744" s="125"/>
      <c r="G744" s="9"/>
      <c r="H744" s="9"/>
      <c r="I744" s="9"/>
      <c r="J744" s="9"/>
      <c r="K744" s="9"/>
      <c r="L744" s="9"/>
      <c r="M744" s="32"/>
      <c r="N744" s="9"/>
      <c r="O744" s="9"/>
      <c r="P744" s="9"/>
      <c r="Q744" s="9"/>
      <c r="R744" s="9"/>
    </row>
    <row r="745">
      <c r="B745" s="125"/>
      <c r="C745" s="125"/>
      <c r="D745" s="125"/>
      <c r="E745" s="125"/>
      <c r="G745" s="9"/>
      <c r="H745" s="9"/>
      <c r="I745" s="9"/>
      <c r="J745" s="9"/>
      <c r="K745" s="9"/>
      <c r="L745" s="9"/>
      <c r="M745" s="32"/>
      <c r="N745" s="9"/>
      <c r="O745" s="9"/>
      <c r="P745" s="9"/>
      <c r="Q745" s="9"/>
      <c r="R745" s="9"/>
    </row>
    <row r="746">
      <c r="B746" s="125"/>
      <c r="C746" s="125"/>
      <c r="D746" s="125"/>
      <c r="E746" s="125"/>
      <c r="G746" s="9"/>
      <c r="H746" s="9"/>
      <c r="I746" s="9"/>
      <c r="J746" s="9"/>
      <c r="K746" s="9"/>
      <c r="L746" s="9"/>
      <c r="M746" s="32"/>
      <c r="N746" s="9"/>
      <c r="O746" s="9"/>
      <c r="P746" s="9"/>
      <c r="Q746" s="9"/>
      <c r="R746" s="9"/>
    </row>
    <row r="747">
      <c r="B747" s="125"/>
      <c r="C747" s="125"/>
      <c r="D747" s="125"/>
      <c r="E747" s="125"/>
      <c r="G747" s="9"/>
      <c r="H747" s="9"/>
      <c r="I747" s="9"/>
      <c r="J747" s="9"/>
      <c r="K747" s="9"/>
      <c r="L747" s="9"/>
      <c r="M747" s="32"/>
      <c r="N747" s="9"/>
      <c r="O747" s="9"/>
      <c r="P747" s="9"/>
      <c r="Q747" s="9"/>
      <c r="R747" s="9"/>
    </row>
    <row r="748">
      <c r="B748" s="125"/>
      <c r="C748" s="125"/>
      <c r="D748" s="125"/>
      <c r="E748" s="125"/>
      <c r="G748" s="9"/>
      <c r="H748" s="9"/>
      <c r="I748" s="9"/>
      <c r="J748" s="9"/>
      <c r="K748" s="9"/>
      <c r="L748" s="9"/>
      <c r="M748" s="32"/>
      <c r="N748" s="9"/>
      <c r="O748" s="9"/>
      <c r="P748" s="9"/>
      <c r="Q748" s="9"/>
      <c r="R748" s="9"/>
    </row>
    <row r="749">
      <c r="B749" s="125"/>
      <c r="C749" s="125"/>
      <c r="D749" s="125"/>
      <c r="E749" s="125"/>
      <c r="G749" s="9"/>
      <c r="H749" s="9"/>
      <c r="I749" s="9"/>
      <c r="J749" s="9"/>
      <c r="K749" s="9"/>
      <c r="L749" s="9"/>
      <c r="M749" s="32"/>
      <c r="N749" s="9"/>
      <c r="O749" s="9"/>
      <c r="P749" s="9"/>
      <c r="Q749" s="9"/>
      <c r="R749" s="9"/>
    </row>
    <row r="750">
      <c r="B750" s="125"/>
      <c r="C750" s="125"/>
      <c r="D750" s="125"/>
      <c r="E750" s="125"/>
      <c r="G750" s="9"/>
      <c r="H750" s="9"/>
      <c r="I750" s="9"/>
      <c r="J750" s="9"/>
      <c r="K750" s="9"/>
      <c r="L750" s="9"/>
      <c r="M750" s="32"/>
      <c r="N750" s="9"/>
      <c r="O750" s="9"/>
      <c r="P750" s="9"/>
      <c r="Q750" s="9"/>
      <c r="R750" s="9"/>
    </row>
    <row r="751">
      <c r="B751" s="125"/>
      <c r="C751" s="125"/>
      <c r="D751" s="125"/>
      <c r="E751" s="125"/>
      <c r="G751" s="9"/>
      <c r="H751" s="9"/>
      <c r="I751" s="9"/>
      <c r="J751" s="9"/>
      <c r="K751" s="9"/>
      <c r="L751" s="9"/>
      <c r="M751" s="32"/>
      <c r="N751" s="9"/>
      <c r="O751" s="9"/>
      <c r="P751" s="9"/>
      <c r="Q751" s="9"/>
      <c r="R751" s="9"/>
    </row>
    <row r="752">
      <c r="B752" s="125"/>
      <c r="C752" s="125"/>
      <c r="D752" s="125"/>
      <c r="E752" s="125"/>
      <c r="G752" s="9"/>
      <c r="H752" s="9"/>
      <c r="I752" s="9"/>
      <c r="J752" s="9"/>
      <c r="K752" s="9"/>
      <c r="L752" s="9"/>
      <c r="M752" s="32"/>
      <c r="N752" s="9"/>
      <c r="O752" s="9"/>
      <c r="P752" s="9"/>
      <c r="Q752" s="9"/>
      <c r="R752" s="9"/>
    </row>
    <row r="753">
      <c r="B753" s="125"/>
      <c r="C753" s="125"/>
      <c r="D753" s="125"/>
      <c r="E753" s="125"/>
      <c r="G753" s="9"/>
      <c r="H753" s="9"/>
      <c r="I753" s="9"/>
      <c r="J753" s="9"/>
      <c r="K753" s="9"/>
      <c r="L753" s="9"/>
      <c r="M753" s="32"/>
      <c r="N753" s="9"/>
      <c r="O753" s="9"/>
      <c r="P753" s="9"/>
      <c r="Q753" s="9"/>
      <c r="R753" s="9"/>
    </row>
    <row r="754">
      <c r="B754" s="125"/>
      <c r="C754" s="125"/>
      <c r="D754" s="125"/>
      <c r="E754" s="125"/>
      <c r="G754" s="9"/>
      <c r="H754" s="9"/>
      <c r="I754" s="9"/>
      <c r="J754" s="9"/>
      <c r="K754" s="9"/>
      <c r="L754" s="9"/>
      <c r="M754" s="32"/>
      <c r="N754" s="9"/>
      <c r="O754" s="9"/>
      <c r="P754" s="9"/>
      <c r="Q754" s="9"/>
      <c r="R754" s="9"/>
    </row>
    <row r="755">
      <c r="B755" s="125"/>
      <c r="C755" s="125"/>
      <c r="D755" s="125"/>
      <c r="E755" s="125"/>
      <c r="G755" s="9"/>
      <c r="H755" s="9"/>
      <c r="I755" s="9"/>
      <c r="J755" s="9"/>
      <c r="K755" s="9"/>
      <c r="L755" s="9"/>
      <c r="M755" s="32"/>
      <c r="N755" s="9"/>
      <c r="O755" s="9"/>
      <c r="P755" s="9"/>
      <c r="Q755" s="9"/>
      <c r="R755" s="9"/>
    </row>
    <row r="756">
      <c r="B756" s="125"/>
      <c r="C756" s="125"/>
      <c r="D756" s="125"/>
      <c r="E756" s="125"/>
      <c r="G756" s="9"/>
      <c r="H756" s="9"/>
      <c r="I756" s="9"/>
      <c r="J756" s="9"/>
      <c r="K756" s="9"/>
      <c r="L756" s="9"/>
      <c r="M756" s="32"/>
      <c r="N756" s="9"/>
      <c r="O756" s="9"/>
      <c r="P756" s="9"/>
      <c r="Q756" s="9"/>
      <c r="R756" s="9"/>
    </row>
    <row r="757">
      <c r="B757" s="125"/>
      <c r="C757" s="125"/>
      <c r="D757" s="125"/>
      <c r="E757" s="125"/>
      <c r="G757" s="9"/>
      <c r="H757" s="9"/>
      <c r="I757" s="9"/>
      <c r="J757" s="9"/>
      <c r="K757" s="9"/>
      <c r="L757" s="9"/>
      <c r="M757" s="32"/>
      <c r="N757" s="9"/>
      <c r="O757" s="9"/>
      <c r="P757" s="9"/>
      <c r="Q757" s="9"/>
      <c r="R757" s="9"/>
    </row>
    <row r="758">
      <c r="B758" s="125"/>
      <c r="C758" s="125"/>
      <c r="D758" s="125"/>
      <c r="E758" s="125"/>
      <c r="G758" s="9"/>
      <c r="H758" s="9"/>
      <c r="I758" s="9"/>
      <c r="J758" s="9"/>
      <c r="K758" s="9"/>
      <c r="L758" s="9"/>
      <c r="M758" s="32"/>
      <c r="N758" s="9"/>
      <c r="O758" s="9"/>
      <c r="P758" s="9"/>
      <c r="Q758" s="9"/>
      <c r="R758" s="9"/>
    </row>
    <row r="759">
      <c r="B759" s="125"/>
      <c r="C759" s="125"/>
      <c r="D759" s="125"/>
      <c r="E759" s="125"/>
      <c r="G759" s="9"/>
      <c r="H759" s="9"/>
      <c r="I759" s="9"/>
      <c r="J759" s="9"/>
      <c r="K759" s="9"/>
      <c r="L759" s="9"/>
      <c r="M759" s="32"/>
      <c r="N759" s="9"/>
      <c r="O759" s="9"/>
      <c r="P759" s="9"/>
      <c r="Q759" s="9"/>
      <c r="R759" s="9"/>
    </row>
    <row r="760">
      <c r="B760" s="125"/>
      <c r="C760" s="125"/>
      <c r="D760" s="125"/>
      <c r="E760" s="125"/>
      <c r="G760" s="9"/>
      <c r="H760" s="9"/>
      <c r="I760" s="9"/>
      <c r="J760" s="9"/>
      <c r="K760" s="9"/>
      <c r="L760" s="9"/>
      <c r="M760" s="32"/>
      <c r="N760" s="9"/>
      <c r="O760" s="9"/>
      <c r="P760" s="9"/>
      <c r="Q760" s="9"/>
      <c r="R760" s="9"/>
    </row>
    <row r="761">
      <c r="B761" s="125"/>
      <c r="C761" s="125"/>
      <c r="D761" s="125"/>
      <c r="E761" s="125"/>
      <c r="G761" s="9"/>
      <c r="H761" s="9"/>
      <c r="I761" s="9"/>
      <c r="J761" s="9"/>
      <c r="K761" s="9"/>
      <c r="L761" s="9"/>
      <c r="M761" s="32"/>
      <c r="N761" s="9"/>
      <c r="O761" s="9"/>
      <c r="P761" s="9"/>
      <c r="Q761" s="9"/>
      <c r="R761" s="9"/>
    </row>
    <row r="762">
      <c r="B762" s="125"/>
      <c r="C762" s="125"/>
      <c r="D762" s="125"/>
      <c r="E762" s="125"/>
      <c r="G762" s="9"/>
      <c r="H762" s="9"/>
      <c r="I762" s="9"/>
      <c r="J762" s="9"/>
      <c r="K762" s="9"/>
      <c r="L762" s="9"/>
      <c r="M762" s="32"/>
      <c r="N762" s="9"/>
      <c r="O762" s="9"/>
      <c r="P762" s="9"/>
      <c r="Q762" s="9"/>
      <c r="R762" s="9"/>
    </row>
    <row r="763">
      <c r="B763" s="125"/>
      <c r="C763" s="125"/>
      <c r="D763" s="125"/>
      <c r="E763" s="125"/>
      <c r="G763" s="9"/>
      <c r="H763" s="9"/>
      <c r="I763" s="9"/>
      <c r="J763" s="9"/>
      <c r="K763" s="9"/>
      <c r="L763" s="9"/>
      <c r="M763" s="32"/>
      <c r="N763" s="9"/>
      <c r="O763" s="9"/>
      <c r="P763" s="9"/>
      <c r="Q763" s="9"/>
      <c r="R763" s="9"/>
    </row>
    <row r="764">
      <c r="B764" s="125"/>
      <c r="C764" s="125"/>
      <c r="D764" s="125"/>
      <c r="E764" s="125"/>
      <c r="G764" s="9"/>
      <c r="H764" s="9"/>
      <c r="I764" s="9"/>
      <c r="J764" s="9"/>
      <c r="K764" s="9"/>
      <c r="L764" s="9"/>
      <c r="M764" s="32"/>
      <c r="N764" s="9"/>
      <c r="O764" s="9"/>
      <c r="P764" s="9"/>
      <c r="Q764" s="9"/>
      <c r="R764" s="9"/>
    </row>
    <row r="765">
      <c r="B765" s="125"/>
      <c r="C765" s="125"/>
      <c r="D765" s="125"/>
      <c r="E765" s="125"/>
      <c r="G765" s="9"/>
      <c r="H765" s="9"/>
      <c r="I765" s="9"/>
      <c r="J765" s="9"/>
      <c r="K765" s="9"/>
      <c r="L765" s="9"/>
      <c r="M765" s="32"/>
      <c r="N765" s="9"/>
      <c r="O765" s="9"/>
      <c r="P765" s="9"/>
      <c r="Q765" s="9"/>
      <c r="R765" s="9"/>
    </row>
    <row r="766">
      <c r="B766" s="125"/>
      <c r="C766" s="125"/>
      <c r="D766" s="125"/>
      <c r="E766" s="125"/>
      <c r="G766" s="9"/>
      <c r="H766" s="9"/>
      <c r="I766" s="9"/>
      <c r="J766" s="9"/>
      <c r="K766" s="9"/>
      <c r="L766" s="9"/>
      <c r="M766" s="32"/>
      <c r="N766" s="9"/>
      <c r="O766" s="9"/>
      <c r="P766" s="9"/>
      <c r="Q766" s="9"/>
      <c r="R766" s="9"/>
    </row>
    <row r="767">
      <c r="B767" s="125"/>
      <c r="C767" s="125"/>
      <c r="D767" s="125"/>
      <c r="E767" s="125"/>
      <c r="G767" s="9"/>
      <c r="H767" s="9"/>
      <c r="I767" s="9"/>
      <c r="J767" s="9"/>
      <c r="K767" s="9"/>
      <c r="L767" s="9"/>
      <c r="M767" s="32"/>
      <c r="N767" s="9"/>
      <c r="O767" s="9"/>
      <c r="P767" s="9"/>
      <c r="Q767" s="9"/>
      <c r="R767" s="9"/>
    </row>
    <row r="768">
      <c r="B768" s="125"/>
      <c r="C768" s="125"/>
      <c r="D768" s="125"/>
      <c r="E768" s="125"/>
      <c r="G768" s="9"/>
      <c r="H768" s="9"/>
      <c r="I768" s="9"/>
      <c r="J768" s="9"/>
      <c r="K768" s="9"/>
      <c r="L768" s="9"/>
      <c r="M768" s="32"/>
      <c r="N768" s="9"/>
      <c r="O768" s="9"/>
      <c r="P768" s="9"/>
      <c r="Q768" s="9"/>
      <c r="R768" s="9"/>
    </row>
    <row r="769">
      <c r="B769" s="125"/>
      <c r="C769" s="125"/>
      <c r="D769" s="125"/>
      <c r="E769" s="125"/>
      <c r="G769" s="9"/>
      <c r="H769" s="9"/>
      <c r="I769" s="9"/>
      <c r="J769" s="9"/>
      <c r="K769" s="9"/>
      <c r="L769" s="9"/>
      <c r="M769" s="32"/>
      <c r="N769" s="9"/>
      <c r="O769" s="9"/>
      <c r="P769" s="9"/>
      <c r="Q769" s="9"/>
      <c r="R769" s="9"/>
    </row>
    <row r="770">
      <c r="B770" s="125"/>
      <c r="C770" s="125"/>
      <c r="D770" s="125"/>
      <c r="E770" s="125"/>
      <c r="G770" s="9"/>
      <c r="H770" s="9"/>
      <c r="I770" s="9"/>
      <c r="J770" s="9"/>
      <c r="K770" s="9"/>
      <c r="L770" s="9"/>
      <c r="M770" s="32"/>
      <c r="N770" s="9"/>
      <c r="O770" s="9"/>
      <c r="P770" s="9"/>
      <c r="Q770" s="9"/>
      <c r="R770" s="9"/>
    </row>
    <row r="771">
      <c r="B771" s="125"/>
      <c r="C771" s="125"/>
      <c r="D771" s="125"/>
      <c r="E771" s="125"/>
      <c r="G771" s="9"/>
      <c r="H771" s="9"/>
      <c r="I771" s="9"/>
      <c r="J771" s="9"/>
      <c r="K771" s="9"/>
      <c r="L771" s="9"/>
      <c r="M771" s="32"/>
      <c r="N771" s="9"/>
      <c r="O771" s="9"/>
      <c r="P771" s="9"/>
      <c r="Q771" s="9"/>
      <c r="R771" s="9"/>
    </row>
    <row r="772">
      <c r="B772" s="125"/>
      <c r="C772" s="125"/>
      <c r="D772" s="125"/>
      <c r="E772" s="125"/>
      <c r="G772" s="9"/>
      <c r="H772" s="9"/>
      <c r="I772" s="9"/>
      <c r="J772" s="9"/>
      <c r="K772" s="9"/>
      <c r="L772" s="9"/>
      <c r="M772" s="32"/>
      <c r="N772" s="9"/>
      <c r="O772" s="9"/>
      <c r="P772" s="9"/>
      <c r="Q772" s="9"/>
      <c r="R772" s="9"/>
    </row>
    <row r="773">
      <c r="B773" s="125"/>
      <c r="C773" s="125"/>
      <c r="D773" s="125"/>
      <c r="E773" s="125"/>
      <c r="G773" s="9"/>
      <c r="H773" s="9"/>
      <c r="I773" s="9"/>
      <c r="J773" s="9"/>
      <c r="K773" s="9"/>
      <c r="L773" s="9"/>
      <c r="M773" s="32"/>
      <c r="N773" s="9"/>
      <c r="O773" s="9"/>
      <c r="P773" s="9"/>
      <c r="Q773" s="9"/>
      <c r="R773" s="9"/>
    </row>
    <row r="774">
      <c r="B774" s="125"/>
      <c r="C774" s="125"/>
      <c r="D774" s="125"/>
      <c r="E774" s="125"/>
      <c r="G774" s="9"/>
      <c r="H774" s="9"/>
      <c r="I774" s="9"/>
      <c r="J774" s="9"/>
      <c r="K774" s="9"/>
      <c r="L774" s="9"/>
      <c r="M774" s="32"/>
      <c r="N774" s="9"/>
      <c r="O774" s="9"/>
      <c r="P774" s="9"/>
      <c r="Q774" s="9"/>
      <c r="R774" s="9"/>
    </row>
    <row r="775">
      <c r="B775" s="125"/>
      <c r="C775" s="125"/>
      <c r="D775" s="125"/>
      <c r="E775" s="125"/>
      <c r="G775" s="9"/>
      <c r="H775" s="9"/>
      <c r="I775" s="9"/>
      <c r="J775" s="9"/>
      <c r="K775" s="9"/>
      <c r="L775" s="9"/>
      <c r="M775" s="32"/>
      <c r="N775" s="9"/>
      <c r="O775" s="9"/>
      <c r="P775" s="9"/>
      <c r="Q775" s="9"/>
      <c r="R775" s="9"/>
    </row>
    <row r="776">
      <c r="B776" s="125"/>
      <c r="C776" s="125"/>
      <c r="D776" s="125"/>
      <c r="E776" s="125"/>
      <c r="G776" s="9"/>
      <c r="H776" s="9"/>
      <c r="I776" s="9"/>
      <c r="J776" s="9"/>
      <c r="K776" s="9"/>
      <c r="L776" s="9"/>
      <c r="M776" s="32"/>
      <c r="N776" s="9"/>
      <c r="O776" s="9"/>
      <c r="P776" s="9"/>
      <c r="Q776" s="9"/>
      <c r="R776" s="9"/>
    </row>
    <row r="777">
      <c r="B777" s="125"/>
      <c r="C777" s="125"/>
      <c r="D777" s="125"/>
      <c r="E777" s="125"/>
      <c r="G777" s="9"/>
      <c r="H777" s="9"/>
      <c r="I777" s="9"/>
      <c r="J777" s="9"/>
      <c r="K777" s="9"/>
      <c r="L777" s="9"/>
      <c r="M777" s="32"/>
      <c r="N777" s="9"/>
      <c r="O777" s="9"/>
      <c r="P777" s="9"/>
      <c r="Q777" s="9"/>
      <c r="R777" s="9"/>
    </row>
    <row r="778">
      <c r="B778" s="125"/>
      <c r="C778" s="125"/>
      <c r="D778" s="125"/>
      <c r="E778" s="125"/>
      <c r="G778" s="9"/>
      <c r="H778" s="9"/>
      <c r="I778" s="9"/>
      <c r="J778" s="9"/>
      <c r="K778" s="9"/>
      <c r="L778" s="9"/>
      <c r="M778" s="32"/>
      <c r="N778" s="9"/>
      <c r="O778" s="9"/>
      <c r="P778" s="9"/>
      <c r="Q778" s="9"/>
      <c r="R778" s="9"/>
    </row>
    <row r="779">
      <c r="B779" s="125"/>
      <c r="C779" s="125"/>
      <c r="D779" s="125"/>
      <c r="E779" s="125"/>
      <c r="G779" s="9"/>
      <c r="H779" s="9"/>
      <c r="I779" s="9"/>
      <c r="J779" s="9"/>
      <c r="K779" s="9"/>
      <c r="L779" s="9"/>
      <c r="M779" s="32"/>
      <c r="N779" s="9"/>
      <c r="O779" s="9"/>
      <c r="P779" s="9"/>
      <c r="Q779" s="9"/>
      <c r="R779" s="9"/>
    </row>
    <row r="780">
      <c r="B780" s="125"/>
      <c r="C780" s="125"/>
      <c r="D780" s="125"/>
      <c r="E780" s="125"/>
      <c r="G780" s="9"/>
      <c r="H780" s="9"/>
      <c r="I780" s="9"/>
      <c r="J780" s="9"/>
      <c r="K780" s="9"/>
      <c r="L780" s="9"/>
      <c r="M780" s="32"/>
      <c r="N780" s="9"/>
      <c r="O780" s="9"/>
      <c r="P780" s="9"/>
      <c r="Q780" s="9"/>
      <c r="R780" s="9"/>
    </row>
    <row r="781">
      <c r="B781" s="125"/>
      <c r="C781" s="125"/>
      <c r="D781" s="125"/>
      <c r="E781" s="125"/>
      <c r="G781" s="9"/>
      <c r="H781" s="9"/>
      <c r="I781" s="9"/>
      <c r="J781" s="9"/>
      <c r="K781" s="9"/>
      <c r="L781" s="9"/>
      <c r="M781" s="32"/>
      <c r="N781" s="9"/>
      <c r="O781" s="9"/>
      <c r="P781" s="9"/>
      <c r="Q781" s="9"/>
      <c r="R781" s="9"/>
    </row>
    <row r="782">
      <c r="B782" s="125"/>
      <c r="C782" s="125"/>
      <c r="D782" s="125"/>
      <c r="E782" s="125"/>
      <c r="G782" s="9"/>
      <c r="H782" s="9"/>
      <c r="I782" s="9"/>
      <c r="J782" s="9"/>
      <c r="K782" s="9"/>
      <c r="L782" s="9"/>
      <c r="M782" s="32"/>
      <c r="N782" s="9"/>
      <c r="O782" s="9"/>
      <c r="P782" s="9"/>
      <c r="Q782" s="9"/>
      <c r="R782" s="9"/>
    </row>
    <row r="783">
      <c r="B783" s="125"/>
      <c r="C783" s="125"/>
      <c r="D783" s="125"/>
      <c r="E783" s="125"/>
      <c r="G783" s="9"/>
      <c r="H783" s="9"/>
      <c r="I783" s="9"/>
      <c r="J783" s="9"/>
      <c r="K783" s="9"/>
      <c r="L783" s="9"/>
      <c r="M783" s="32"/>
      <c r="N783" s="9"/>
      <c r="O783" s="9"/>
      <c r="P783" s="9"/>
      <c r="Q783" s="9"/>
      <c r="R783" s="9"/>
    </row>
    <row r="784">
      <c r="B784" s="125"/>
      <c r="C784" s="125"/>
      <c r="D784" s="125"/>
      <c r="E784" s="125"/>
      <c r="G784" s="9"/>
      <c r="H784" s="9"/>
      <c r="I784" s="9"/>
      <c r="J784" s="9"/>
      <c r="K784" s="9"/>
      <c r="L784" s="9"/>
      <c r="M784" s="32"/>
      <c r="N784" s="9"/>
      <c r="O784" s="9"/>
      <c r="P784" s="9"/>
      <c r="Q784" s="9"/>
      <c r="R784" s="9"/>
    </row>
    <row r="785">
      <c r="B785" s="125"/>
      <c r="C785" s="125"/>
      <c r="D785" s="125"/>
      <c r="E785" s="125"/>
      <c r="G785" s="9"/>
      <c r="H785" s="9"/>
      <c r="I785" s="9"/>
      <c r="J785" s="9"/>
      <c r="K785" s="9"/>
      <c r="L785" s="9"/>
      <c r="M785" s="32"/>
      <c r="N785" s="9"/>
      <c r="O785" s="9"/>
      <c r="P785" s="9"/>
      <c r="Q785" s="9"/>
      <c r="R785" s="9"/>
    </row>
    <row r="786">
      <c r="B786" s="125"/>
      <c r="C786" s="125"/>
      <c r="D786" s="125"/>
      <c r="E786" s="125"/>
      <c r="G786" s="9"/>
      <c r="H786" s="9"/>
      <c r="I786" s="9"/>
      <c r="J786" s="9"/>
      <c r="K786" s="9"/>
      <c r="L786" s="9"/>
      <c r="M786" s="32"/>
      <c r="N786" s="9"/>
      <c r="O786" s="9"/>
      <c r="P786" s="9"/>
      <c r="Q786" s="9"/>
      <c r="R786" s="9"/>
    </row>
    <row r="787">
      <c r="B787" s="125"/>
      <c r="C787" s="125"/>
      <c r="D787" s="125"/>
      <c r="E787" s="125"/>
      <c r="G787" s="9"/>
      <c r="H787" s="9"/>
      <c r="I787" s="9"/>
      <c r="J787" s="9"/>
      <c r="K787" s="9"/>
      <c r="L787" s="9"/>
      <c r="M787" s="32"/>
      <c r="N787" s="9"/>
      <c r="O787" s="9"/>
      <c r="P787" s="9"/>
      <c r="Q787" s="9"/>
      <c r="R787" s="9"/>
    </row>
    <row r="788">
      <c r="B788" s="125"/>
      <c r="C788" s="125"/>
      <c r="D788" s="125"/>
      <c r="E788" s="125"/>
      <c r="G788" s="9"/>
      <c r="H788" s="9"/>
      <c r="I788" s="9"/>
      <c r="J788" s="9"/>
      <c r="K788" s="9"/>
      <c r="L788" s="9"/>
      <c r="M788" s="32"/>
      <c r="N788" s="9"/>
      <c r="O788" s="9"/>
      <c r="P788" s="9"/>
      <c r="Q788" s="9"/>
      <c r="R788" s="9"/>
    </row>
    <row r="789">
      <c r="B789" s="125"/>
      <c r="C789" s="125"/>
      <c r="D789" s="125"/>
      <c r="E789" s="125"/>
      <c r="G789" s="9"/>
      <c r="H789" s="9"/>
      <c r="I789" s="9"/>
      <c r="J789" s="9"/>
      <c r="K789" s="9"/>
      <c r="L789" s="9"/>
      <c r="M789" s="32"/>
      <c r="N789" s="9"/>
      <c r="O789" s="9"/>
      <c r="P789" s="9"/>
      <c r="Q789" s="9"/>
      <c r="R789" s="9"/>
    </row>
    <row r="790">
      <c r="B790" s="125"/>
      <c r="C790" s="125"/>
      <c r="D790" s="125"/>
      <c r="E790" s="125"/>
      <c r="G790" s="9"/>
      <c r="H790" s="9"/>
      <c r="I790" s="9"/>
      <c r="J790" s="9"/>
      <c r="K790" s="9"/>
      <c r="L790" s="9"/>
      <c r="M790" s="32"/>
      <c r="N790" s="9"/>
      <c r="O790" s="9"/>
      <c r="P790" s="9"/>
      <c r="Q790" s="9"/>
      <c r="R790" s="9"/>
    </row>
    <row r="791">
      <c r="B791" s="125"/>
      <c r="C791" s="125"/>
      <c r="D791" s="125"/>
      <c r="E791" s="125"/>
      <c r="G791" s="9"/>
      <c r="H791" s="9"/>
      <c r="I791" s="9"/>
      <c r="J791" s="9"/>
      <c r="K791" s="9"/>
      <c r="L791" s="9"/>
      <c r="M791" s="32"/>
      <c r="N791" s="9"/>
      <c r="O791" s="9"/>
      <c r="P791" s="9"/>
      <c r="Q791" s="9"/>
      <c r="R791" s="9"/>
    </row>
    <row r="792">
      <c r="B792" s="125"/>
      <c r="C792" s="125"/>
      <c r="D792" s="125"/>
      <c r="E792" s="125"/>
      <c r="G792" s="9"/>
      <c r="H792" s="9"/>
      <c r="I792" s="9"/>
      <c r="J792" s="9"/>
      <c r="K792" s="9"/>
      <c r="L792" s="9"/>
      <c r="M792" s="32"/>
      <c r="N792" s="9"/>
      <c r="O792" s="9"/>
      <c r="P792" s="9"/>
      <c r="Q792" s="9"/>
      <c r="R792" s="9"/>
    </row>
    <row r="793">
      <c r="B793" s="125"/>
      <c r="C793" s="125"/>
      <c r="D793" s="125"/>
      <c r="E793" s="125"/>
      <c r="G793" s="9"/>
      <c r="H793" s="9"/>
      <c r="I793" s="9"/>
      <c r="J793" s="9"/>
      <c r="K793" s="9"/>
      <c r="L793" s="9"/>
      <c r="M793" s="32"/>
      <c r="N793" s="9"/>
      <c r="O793" s="9"/>
      <c r="P793" s="9"/>
      <c r="Q793" s="9"/>
      <c r="R793" s="9"/>
    </row>
    <row r="794">
      <c r="B794" s="125"/>
      <c r="C794" s="125"/>
      <c r="D794" s="125"/>
      <c r="E794" s="125"/>
      <c r="G794" s="9"/>
      <c r="H794" s="9"/>
      <c r="I794" s="9"/>
      <c r="J794" s="9"/>
      <c r="K794" s="9"/>
      <c r="L794" s="9"/>
      <c r="M794" s="32"/>
      <c r="N794" s="9"/>
      <c r="O794" s="9"/>
      <c r="P794" s="9"/>
      <c r="Q794" s="9"/>
      <c r="R794" s="9"/>
    </row>
    <row r="795">
      <c r="B795" s="125"/>
      <c r="C795" s="125"/>
      <c r="D795" s="125"/>
      <c r="E795" s="125"/>
      <c r="G795" s="9"/>
      <c r="H795" s="9"/>
      <c r="I795" s="9"/>
      <c r="J795" s="9"/>
      <c r="K795" s="9"/>
      <c r="L795" s="9"/>
      <c r="M795" s="32"/>
      <c r="N795" s="9"/>
      <c r="O795" s="9"/>
      <c r="P795" s="9"/>
      <c r="Q795" s="9"/>
      <c r="R795" s="9"/>
    </row>
    <row r="796">
      <c r="B796" s="125"/>
      <c r="C796" s="125"/>
      <c r="D796" s="125"/>
      <c r="E796" s="125"/>
      <c r="G796" s="9"/>
      <c r="H796" s="9"/>
      <c r="I796" s="9"/>
      <c r="J796" s="9"/>
      <c r="K796" s="9"/>
      <c r="L796" s="9"/>
      <c r="M796" s="32"/>
      <c r="N796" s="9"/>
      <c r="O796" s="9"/>
      <c r="P796" s="9"/>
      <c r="Q796" s="9"/>
      <c r="R796" s="9"/>
    </row>
    <row r="797">
      <c r="B797" s="125"/>
      <c r="C797" s="125"/>
      <c r="D797" s="125"/>
      <c r="E797" s="125"/>
      <c r="G797" s="9"/>
      <c r="H797" s="9"/>
      <c r="I797" s="9"/>
      <c r="J797" s="9"/>
      <c r="K797" s="9"/>
      <c r="L797" s="9"/>
      <c r="M797" s="32"/>
      <c r="N797" s="9"/>
      <c r="O797" s="9"/>
      <c r="P797" s="9"/>
      <c r="Q797" s="9"/>
      <c r="R797" s="9"/>
    </row>
    <row r="798">
      <c r="B798" s="125"/>
      <c r="C798" s="125"/>
      <c r="D798" s="125"/>
      <c r="E798" s="125"/>
      <c r="G798" s="9"/>
      <c r="H798" s="9"/>
      <c r="I798" s="9"/>
      <c r="J798" s="9"/>
      <c r="K798" s="9"/>
      <c r="L798" s="9"/>
      <c r="M798" s="32"/>
      <c r="N798" s="9"/>
      <c r="O798" s="9"/>
      <c r="P798" s="9"/>
      <c r="Q798" s="9"/>
      <c r="R798" s="9"/>
    </row>
    <row r="799">
      <c r="B799" s="125"/>
      <c r="C799" s="125"/>
      <c r="D799" s="125"/>
      <c r="E799" s="125"/>
      <c r="G799" s="9"/>
      <c r="H799" s="9"/>
      <c r="I799" s="9"/>
      <c r="J799" s="9"/>
      <c r="K799" s="9"/>
      <c r="L799" s="9"/>
      <c r="M799" s="32"/>
      <c r="N799" s="9"/>
      <c r="O799" s="9"/>
      <c r="P799" s="9"/>
      <c r="Q799" s="9"/>
      <c r="R799" s="9"/>
    </row>
    <row r="800">
      <c r="B800" s="125"/>
      <c r="C800" s="125"/>
      <c r="D800" s="125"/>
      <c r="E800" s="125"/>
      <c r="G800" s="9"/>
      <c r="H800" s="9"/>
      <c r="I800" s="9"/>
      <c r="J800" s="9"/>
      <c r="K800" s="9"/>
      <c r="L800" s="9"/>
      <c r="M800" s="32"/>
      <c r="N800" s="9"/>
      <c r="O800" s="9"/>
      <c r="P800" s="9"/>
      <c r="Q800" s="9"/>
      <c r="R800" s="9"/>
    </row>
    <row r="801">
      <c r="B801" s="125"/>
      <c r="C801" s="125"/>
      <c r="D801" s="125"/>
      <c r="E801" s="125"/>
      <c r="G801" s="9"/>
      <c r="H801" s="9"/>
      <c r="I801" s="9"/>
      <c r="J801" s="9"/>
      <c r="K801" s="9"/>
      <c r="L801" s="9"/>
      <c r="M801" s="32"/>
      <c r="N801" s="9"/>
      <c r="O801" s="9"/>
      <c r="P801" s="9"/>
      <c r="Q801" s="9"/>
      <c r="R801" s="9"/>
    </row>
    <row r="802">
      <c r="B802" s="125"/>
      <c r="C802" s="125"/>
      <c r="D802" s="125"/>
      <c r="E802" s="125"/>
      <c r="G802" s="9"/>
      <c r="H802" s="9"/>
      <c r="I802" s="9"/>
      <c r="J802" s="9"/>
      <c r="K802" s="9"/>
      <c r="L802" s="9"/>
      <c r="M802" s="32"/>
      <c r="N802" s="9"/>
      <c r="O802" s="9"/>
      <c r="P802" s="9"/>
      <c r="Q802" s="9"/>
      <c r="R802" s="9"/>
    </row>
    <row r="803">
      <c r="B803" s="125"/>
      <c r="C803" s="125"/>
      <c r="D803" s="125"/>
      <c r="E803" s="125"/>
      <c r="G803" s="9"/>
      <c r="H803" s="9"/>
      <c r="I803" s="9"/>
      <c r="J803" s="9"/>
      <c r="K803" s="9"/>
      <c r="L803" s="9"/>
      <c r="M803" s="32"/>
      <c r="N803" s="9"/>
      <c r="O803" s="9"/>
      <c r="P803" s="9"/>
      <c r="Q803" s="9"/>
      <c r="R803" s="9"/>
    </row>
    <row r="804">
      <c r="B804" s="125"/>
      <c r="C804" s="125"/>
      <c r="D804" s="125"/>
      <c r="E804" s="125"/>
      <c r="G804" s="9"/>
      <c r="H804" s="9"/>
      <c r="I804" s="9"/>
      <c r="J804" s="9"/>
      <c r="K804" s="9"/>
      <c r="L804" s="9"/>
      <c r="M804" s="32"/>
      <c r="N804" s="9"/>
      <c r="O804" s="9"/>
      <c r="P804" s="9"/>
      <c r="Q804" s="9"/>
      <c r="R804" s="9"/>
    </row>
    <row r="805">
      <c r="B805" s="125"/>
      <c r="C805" s="125"/>
      <c r="D805" s="125"/>
      <c r="E805" s="125"/>
      <c r="G805" s="9"/>
      <c r="H805" s="9"/>
      <c r="I805" s="9"/>
      <c r="J805" s="9"/>
      <c r="K805" s="9"/>
      <c r="L805" s="9"/>
      <c r="M805" s="32"/>
      <c r="N805" s="9"/>
      <c r="O805" s="9"/>
      <c r="P805" s="9"/>
      <c r="Q805" s="9"/>
      <c r="R805" s="9"/>
    </row>
    <row r="806">
      <c r="B806" s="125"/>
      <c r="C806" s="125"/>
      <c r="D806" s="125"/>
      <c r="E806" s="125"/>
      <c r="G806" s="9"/>
      <c r="H806" s="9"/>
      <c r="I806" s="9"/>
      <c r="J806" s="9"/>
      <c r="K806" s="9"/>
      <c r="L806" s="9"/>
      <c r="M806" s="32"/>
      <c r="N806" s="9"/>
      <c r="O806" s="9"/>
      <c r="P806" s="9"/>
      <c r="Q806" s="9"/>
      <c r="R806" s="9"/>
    </row>
    <row r="807">
      <c r="B807" s="125"/>
      <c r="C807" s="125"/>
      <c r="D807" s="125"/>
      <c r="E807" s="125"/>
      <c r="G807" s="9"/>
      <c r="H807" s="9"/>
      <c r="I807" s="9"/>
      <c r="J807" s="9"/>
      <c r="K807" s="9"/>
      <c r="L807" s="9"/>
      <c r="M807" s="32"/>
      <c r="N807" s="9"/>
      <c r="O807" s="9"/>
      <c r="P807" s="9"/>
      <c r="Q807" s="9"/>
      <c r="R807" s="9"/>
    </row>
    <row r="808">
      <c r="B808" s="125"/>
      <c r="C808" s="125"/>
      <c r="D808" s="125"/>
      <c r="E808" s="125"/>
      <c r="G808" s="9"/>
      <c r="H808" s="9"/>
      <c r="I808" s="9"/>
      <c r="J808" s="9"/>
      <c r="K808" s="9"/>
      <c r="L808" s="9"/>
      <c r="M808" s="32"/>
      <c r="N808" s="9"/>
      <c r="O808" s="9"/>
      <c r="P808" s="9"/>
      <c r="Q808" s="9"/>
      <c r="R808" s="9"/>
    </row>
    <row r="809">
      <c r="B809" s="125"/>
      <c r="C809" s="125"/>
      <c r="D809" s="125"/>
      <c r="E809" s="125"/>
      <c r="G809" s="9"/>
      <c r="H809" s="9"/>
      <c r="I809" s="9"/>
      <c r="J809" s="9"/>
      <c r="K809" s="9"/>
      <c r="L809" s="9"/>
      <c r="M809" s="32"/>
      <c r="N809" s="9"/>
      <c r="O809" s="9"/>
      <c r="P809" s="9"/>
      <c r="Q809" s="9"/>
      <c r="R809" s="9"/>
    </row>
    <row r="810">
      <c r="B810" s="125"/>
      <c r="C810" s="125"/>
      <c r="D810" s="125"/>
      <c r="E810" s="125"/>
      <c r="G810" s="9"/>
      <c r="H810" s="9"/>
      <c r="I810" s="9"/>
      <c r="J810" s="9"/>
      <c r="K810" s="9"/>
      <c r="L810" s="9"/>
      <c r="M810" s="32"/>
      <c r="N810" s="9"/>
      <c r="O810" s="9"/>
      <c r="P810" s="9"/>
      <c r="Q810" s="9"/>
      <c r="R810" s="9"/>
    </row>
    <row r="811">
      <c r="B811" s="125"/>
      <c r="C811" s="125"/>
      <c r="D811" s="125"/>
      <c r="E811" s="125"/>
      <c r="G811" s="9"/>
      <c r="H811" s="9"/>
      <c r="I811" s="9"/>
      <c r="J811" s="9"/>
      <c r="K811" s="9"/>
      <c r="L811" s="9"/>
      <c r="M811" s="32"/>
      <c r="N811" s="9"/>
      <c r="O811" s="9"/>
      <c r="P811" s="9"/>
      <c r="Q811" s="9"/>
      <c r="R811" s="9"/>
    </row>
    <row r="812">
      <c r="B812" s="125"/>
      <c r="C812" s="125"/>
      <c r="D812" s="125"/>
      <c r="E812" s="125"/>
      <c r="G812" s="9"/>
      <c r="H812" s="9"/>
      <c r="I812" s="9"/>
      <c r="J812" s="9"/>
      <c r="K812" s="9"/>
      <c r="L812" s="9"/>
      <c r="M812" s="32"/>
      <c r="N812" s="9"/>
      <c r="O812" s="9"/>
      <c r="P812" s="9"/>
      <c r="Q812" s="9"/>
      <c r="R812" s="9"/>
    </row>
    <row r="813">
      <c r="B813" s="125"/>
      <c r="C813" s="125"/>
      <c r="D813" s="125"/>
      <c r="E813" s="125"/>
      <c r="G813" s="9"/>
      <c r="H813" s="9"/>
      <c r="I813" s="9"/>
      <c r="J813" s="9"/>
      <c r="K813" s="9"/>
      <c r="L813" s="9"/>
      <c r="M813" s="32"/>
      <c r="N813" s="9"/>
      <c r="O813" s="9"/>
      <c r="P813" s="9"/>
      <c r="Q813" s="9"/>
      <c r="R813" s="9"/>
    </row>
    <row r="814">
      <c r="B814" s="125"/>
      <c r="C814" s="125"/>
      <c r="D814" s="125"/>
      <c r="E814" s="125"/>
      <c r="G814" s="9"/>
      <c r="H814" s="9"/>
      <c r="I814" s="9"/>
      <c r="J814" s="9"/>
      <c r="K814" s="9"/>
      <c r="L814" s="9"/>
      <c r="M814" s="32"/>
      <c r="N814" s="9"/>
      <c r="O814" s="9"/>
      <c r="P814" s="9"/>
      <c r="Q814" s="9"/>
      <c r="R814" s="9"/>
    </row>
    <row r="815">
      <c r="B815" s="125"/>
      <c r="C815" s="125"/>
      <c r="D815" s="125"/>
      <c r="E815" s="125"/>
      <c r="G815" s="9"/>
      <c r="H815" s="9"/>
      <c r="I815" s="9"/>
      <c r="J815" s="9"/>
      <c r="K815" s="9"/>
      <c r="L815" s="9"/>
      <c r="M815" s="32"/>
      <c r="N815" s="9"/>
      <c r="O815" s="9"/>
      <c r="P815" s="9"/>
      <c r="Q815" s="9"/>
      <c r="R815" s="9"/>
    </row>
    <row r="816">
      <c r="B816" s="125"/>
      <c r="C816" s="125"/>
      <c r="D816" s="125"/>
      <c r="E816" s="125"/>
      <c r="G816" s="9"/>
      <c r="H816" s="9"/>
      <c r="I816" s="9"/>
      <c r="J816" s="9"/>
      <c r="K816" s="9"/>
      <c r="L816" s="9"/>
      <c r="M816" s="32"/>
      <c r="N816" s="9"/>
      <c r="O816" s="9"/>
      <c r="P816" s="9"/>
      <c r="Q816" s="9"/>
      <c r="R816" s="9"/>
    </row>
    <row r="817">
      <c r="B817" s="125"/>
      <c r="C817" s="125"/>
      <c r="D817" s="125"/>
      <c r="E817" s="125"/>
      <c r="G817" s="9"/>
      <c r="H817" s="9"/>
      <c r="I817" s="9"/>
      <c r="J817" s="9"/>
      <c r="K817" s="9"/>
      <c r="L817" s="9"/>
      <c r="M817" s="32"/>
      <c r="N817" s="9"/>
      <c r="O817" s="9"/>
      <c r="P817" s="9"/>
      <c r="Q817" s="9"/>
      <c r="R817" s="9"/>
    </row>
    <row r="818">
      <c r="B818" s="125"/>
      <c r="C818" s="125"/>
      <c r="D818" s="125"/>
      <c r="E818" s="125"/>
      <c r="G818" s="9"/>
      <c r="H818" s="9"/>
      <c r="I818" s="9"/>
      <c r="J818" s="9"/>
      <c r="K818" s="9"/>
      <c r="L818" s="9"/>
      <c r="M818" s="32"/>
      <c r="N818" s="9"/>
      <c r="O818" s="9"/>
      <c r="P818" s="9"/>
      <c r="Q818" s="9"/>
      <c r="R818" s="9"/>
    </row>
    <row r="819">
      <c r="B819" s="125"/>
      <c r="C819" s="125"/>
      <c r="D819" s="125"/>
      <c r="E819" s="125"/>
      <c r="G819" s="9"/>
      <c r="H819" s="9"/>
      <c r="I819" s="9"/>
      <c r="J819" s="9"/>
      <c r="K819" s="9"/>
      <c r="L819" s="9"/>
      <c r="M819" s="32"/>
      <c r="N819" s="9"/>
      <c r="O819" s="9"/>
      <c r="P819" s="9"/>
      <c r="Q819" s="9"/>
      <c r="R819" s="9"/>
    </row>
    <row r="820">
      <c r="B820" s="125"/>
      <c r="C820" s="125"/>
      <c r="D820" s="125"/>
      <c r="E820" s="125"/>
      <c r="G820" s="9"/>
      <c r="H820" s="9"/>
      <c r="I820" s="9"/>
      <c r="J820" s="9"/>
      <c r="K820" s="9"/>
      <c r="L820" s="9"/>
      <c r="M820" s="32"/>
      <c r="N820" s="9"/>
      <c r="O820" s="9"/>
      <c r="P820" s="9"/>
      <c r="Q820" s="9"/>
      <c r="R820" s="9"/>
    </row>
    <row r="821">
      <c r="B821" s="125"/>
      <c r="C821" s="125"/>
      <c r="D821" s="125"/>
      <c r="E821" s="125"/>
      <c r="G821" s="9"/>
      <c r="H821" s="9"/>
      <c r="I821" s="9"/>
      <c r="J821" s="9"/>
      <c r="K821" s="9"/>
      <c r="L821" s="9"/>
      <c r="M821" s="32"/>
      <c r="N821" s="9"/>
      <c r="O821" s="9"/>
      <c r="P821" s="9"/>
      <c r="Q821" s="9"/>
      <c r="R821" s="9"/>
    </row>
    <row r="822">
      <c r="B822" s="125"/>
      <c r="C822" s="125"/>
      <c r="D822" s="125"/>
      <c r="E822" s="125"/>
      <c r="G822" s="9"/>
      <c r="H822" s="9"/>
      <c r="I822" s="9"/>
      <c r="J822" s="9"/>
      <c r="K822" s="9"/>
      <c r="L822" s="9"/>
      <c r="M822" s="32"/>
      <c r="N822" s="9"/>
      <c r="O822" s="9"/>
      <c r="P822" s="9"/>
      <c r="Q822" s="9"/>
      <c r="R822" s="9"/>
    </row>
    <row r="823">
      <c r="B823" s="125"/>
      <c r="C823" s="125"/>
      <c r="D823" s="125"/>
      <c r="E823" s="125"/>
      <c r="G823" s="9"/>
      <c r="H823" s="9"/>
      <c r="I823" s="9"/>
      <c r="J823" s="9"/>
      <c r="K823" s="9"/>
      <c r="L823" s="9"/>
      <c r="M823" s="32"/>
      <c r="N823" s="9"/>
      <c r="O823" s="9"/>
      <c r="P823" s="9"/>
      <c r="Q823" s="9"/>
      <c r="R823" s="9"/>
    </row>
    <row r="824">
      <c r="B824" s="125"/>
      <c r="C824" s="125"/>
      <c r="D824" s="125"/>
      <c r="E824" s="125"/>
      <c r="G824" s="9"/>
      <c r="H824" s="9"/>
      <c r="I824" s="9"/>
      <c r="J824" s="9"/>
      <c r="K824" s="9"/>
      <c r="L824" s="9"/>
      <c r="M824" s="32"/>
      <c r="N824" s="9"/>
      <c r="O824" s="9"/>
      <c r="P824" s="9"/>
      <c r="Q824" s="9"/>
      <c r="R824" s="9"/>
    </row>
    <row r="825">
      <c r="B825" s="125"/>
      <c r="C825" s="125"/>
      <c r="D825" s="125"/>
      <c r="E825" s="125"/>
      <c r="G825" s="9"/>
      <c r="H825" s="9"/>
      <c r="I825" s="9"/>
      <c r="J825" s="9"/>
      <c r="K825" s="9"/>
      <c r="L825" s="9"/>
      <c r="M825" s="32"/>
      <c r="N825" s="9"/>
      <c r="O825" s="9"/>
      <c r="P825" s="9"/>
      <c r="Q825" s="9"/>
      <c r="R825" s="9"/>
    </row>
    <row r="826">
      <c r="B826" s="125"/>
      <c r="C826" s="125"/>
      <c r="D826" s="125"/>
      <c r="E826" s="125"/>
      <c r="G826" s="9"/>
      <c r="H826" s="9"/>
      <c r="I826" s="9"/>
      <c r="J826" s="9"/>
      <c r="K826" s="9"/>
      <c r="L826" s="9"/>
      <c r="M826" s="32"/>
      <c r="N826" s="9"/>
      <c r="O826" s="9"/>
      <c r="P826" s="9"/>
      <c r="Q826" s="9"/>
      <c r="R826" s="9"/>
    </row>
    <row r="827">
      <c r="B827" s="125"/>
      <c r="C827" s="125"/>
      <c r="D827" s="125"/>
      <c r="E827" s="125"/>
      <c r="G827" s="9"/>
      <c r="H827" s="9"/>
      <c r="I827" s="9"/>
      <c r="J827" s="9"/>
      <c r="K827" s="9"/>
      <c r="L827" s="9"/>
      <c r="M827" s="32"/>
      <c r="N827" s="9"/>
      <c r="O827" s="9"/>
      <c r="P827" s="9"/>
      <c r="Q827" s="9"/>
      <c r="R827" s="9"/>
    </row>
    <row r="828">
      <c r="B828" s="125"/>
      <c r="C828" s="125"/>
      <c r="D828" s="125"/>
      <c r="E828" s="125"/>
      <c r="G828" s="9"/>
      <c r="H828" s="9"/>
      <c r="I828" s="9"/>
      <c r="J828" s="9"/>
      <c r="K828" s="9"/>
      <c r="L828" s="9"/>
      <c r="M828" s="32"/>
      <c r="N828" s="9"/>
      <c r="O828" s="9"/>
      <c r="P828" s="9"/>
      <c r="Q828" s="9"/>
      <c r="R828" s="9"/>
    </row>
    <row r="829">
      <c r="B829" s="125"/>
      <c r="C829" s="125"/>
      <c r="D829" s="125"/>
      <c r="E829" s="125"/>
      <c r="G829" s="9"/>
      <c r="H829" s="9"/>
      <c r="I829" s="9"/>
      <c r="J829" s="9"/>
      <c r="K829" s="9"/>
      <c r="L829" s="9"/>
      <c r="M829" s="32"/>
      <c r="N829" s="9"/>
      <c r="O829" s="9"/>
      <c r="P829" s="9"/>
      <c r="Q829" s="9"/>
      <c r="R829" s="9"/>
    </row>
    <row r="830">
      <c r="B830" s="125"/>
      <c r="C830" s="125"/>
      <c r="D830" s="125"/>
      <c r="E830" s="125"/>
      <c r="G830" s="9"/>
      <c r="H830" s="9"/>
      <c r="I830" s="9"/>
      <c r="J830" s="9"/>
      <c r="K830" s="9"/>
      <c r="L830" s="9"/>
      <c r="M830" s="32"/>
      <c r="N830" s="9"/>
      <c r="O830" s="9"/>
      <c r="P830" s="9"/>
      <c r="Q830" s="9"/>
      <c r="R830" s="9"/>
    </row>
    <row r="831">
      <c r="B831" s="125"/>
      <c r="C831" s="125"/>
      <c r="D831" s="125"/>
      <c r="E831" s="125"/>
      <c r="G831" s="9"/>
      <c r="H831" s="9"/>
      <c r="I831" s="9"/>
      <c r="J831" s="9"/>
      <c r="K831" s="9"/>
      <c r="L831" s="9"/>
      <c r="M831" s="32"/>
      <c r="N831" s="9"/>
      <c r="O831" s="9"/>
      <c r="P831" s="9"/>
      <c r="Q831" s="9"/>
      <c r="R831" s="9"/>
    </row>
    <row r="832">
      <c r="B832" s="125"/>
      <c r="C832" s="125"/>
      <c r="D832" s="125"/>
      <c r="E832" s="125"/>
      <c r="G832" s="9"/>
      <c r="H832" s="9"/>
      <c r="I832" s="9"/>
      <c r="J832" s="9"/>
      <c r="K832" s="9"/>
      <c r="L832" s="9"/>
      <c r="M832" s="32"/>
      <c r="N832" s="9"/>
      <c r="O832" s="9"/>
      <c r="P832" s="9"/>
      <c r="Q832" s="9"/>
      <c r="R832" s="9"/>
    </row>
    <row r="833">
      <c r="B833" s="125"/>
      <c r="C833" s="125"/>
      <c r="D833" s="125"/>
      <c r="E833" s="125"/>
      <c r="G833" s="9"/>
      <c r="H833" s="9"/>
      <c r="I833" s="9"/>
      <c r="J833" s="9"/>
      <c r="K833" s="9"/>
      <c r="L833" s="9"/>
      <c r="M833" s="32"/>
      <c r="N833" s="9"/>
      <c r="O833" s="9"/>
      <c r="P833" s="9"/>
      <c r="Q833" s="9"/>
      <c r="R833" s="9"/>
    </row>
    <row r="834">
      <c r="B834" s="125"/>
      <c r="C834" s="125"/>
      <c r="D834" s="125"/>
      <c r="E834" s="125"/>
      <c r="G834" s="9"/>
      <c r="H834" s="9"/>
      <c r="I834" s="9"/>
      <c r="J834" s="9"/>
      <c r="K834" s="9"/>
      <c r="L834" s="9"/>
      <c r="M834" s="32"/>
      <c r="N834" s="9"/>
      <c r="O834" s="9"/>
      <c r="P834" s="9"/>
      <c r="Q834" s="9"/>
      <c r="R834" s="9"/>
    </row>
    <row r="835">
      <c r="B835" s="125"/>
      <c r="C835" s="125"/>
      <c r="D835" s="125"/>
      <c r="E835" s="125"/>
      <c r="G835" s="9"/>
      <c r="H835" s="9"/>
      <c r="I835" s="9"/>
      <c r="J835" s="9"/>
      <c r="K835" s="9"/>
      <c r="L835" s="9"/>
      <c r="M835" s="32"/>
      <c r="N835" s="9"/>
      <c r="O835" s="9"/>
      <c r="P835" s="9"/>
      <c r="Q835" s="9"/>
      <c r="R835" s="9"/>
    </row>
    <row r="836">
      <c r="B836" s="125"/>
      <c r="C836" s="125"/>
      <c r="D836" s="125"/>
      <c r="E836" s="125"/>
      <c r="G836" s="9"/>
      <c r="H836" s="9"/>
      <c r="I836" s="9"/>
      <c r="J836" s="9"/>
      <c r="K836" s="9"/>
      <c r="L836" s="9"/>
      <c r="M836" s="32"/>
      <c r="N836" s="9"/>
      <c r="O836" s="9"/>
      <c r="P836" s="9"/>
      <c r="Q836" s="9"/>
      <c r="R836" s="9"/>
    </row>
    <row r="837">
      <c r="B837" s="125"/>
      <c r="C837" s="125"/>
      <c r="D837" s="125"/>
      <c r="E837" s="125"/>
      <c r="G837" s="9"/>
      <c r="H837" s="9"/>
      <c r="I837" s="9"/>
      <c r="J837" s="9"/>
      <c r="K837" s="9"/>
      <c r="L837" s="9"/>
      <c r="M837" s="32"/>
      <c r="N837" s="9"/>
      <c r="O837" s="9"/>
      <c r="P837" s="9"/>
      <c r="Q837" s="9"/>
      <c r="R837" s="9"/>
    </row>
    <row r="838">
      <c r="B838" s="125"/>
      <c r="C838" s="125"/>
      <c r="D838" s="125"/>
      <c r="E838" s="125"/>
      <c r="G838" s="9"/>
      <c r="H838" s="9"/>
      <c r="I838" s="9"/>
      <c r="J838" s="9"/>
      <c r="K838" s="9"/>
      <c r="L838" s="9"/>
      <c r="M838" s="32"/>
      <c r="N838" s="9"/>
      <c r="O838" s="9"/>
      <c r="P838" s="9"/>
      <c r="Q838" s="9"/>
      <c r="R838" s="9"/>
    </row>
    <row r="839">
      <c r="B839" s="125"/>
      <c r="C839" s="125"/>
      <c r="D839" s="125"/>
      <c r="E839" s="125"/>
      <c r="G839" s="9"/>
      <c r="H839" s="9"/>
      <c r="I839" s="9"/>
      <c r="J839" s="9"/>
      <c r="K839" s="9"/>
      <c r="L839" s="9"/>
      <c r="M839" s="32"/>
      <c r="N839" s="9"/>
      <c r="O839" s="9"/>
      <c r="P839" s="9"/>
      <c r="Q839" s="9"/>
      <c r="R839" s="9"/>
    </row>
    <row r="840">
      <c r="B840" s="125"/>
      <c r="C840" s="125"/>
      <c r="D840" s="125"/>
      <c r="E840" s="125"/>
      <c r="G840" s="9"/>
      <c r="H840" s="9"/>
      <c r="I840" s="9"/>
      <c r="J840" s="9"/>
      <c r="K840" s="9"/>
      <c r="L840" s="9"/>
      <c r="M840" s="32"/>
      <c r="N840" s="9"/>
      <c r="O840" s="9"/>
      <c r="P840" s="9"/>
      <c r="Q840" s="9"/>
      <c r="R840" s="9"/>
    </row>
    <row r="841">
      <c r="B841" s="125"/>
      <c r="C841" s="125"/>
      <c r="D841" s="125"/>
      <c r="E841" s="125"/>
      <c r="G841" s="9"/>
      <c r="H841" s="9"/>
      <c r="I841" s="9"/>
      <c r="J841" s="9"/>
      <c r="K841" s="9"/>
      <c r="L841" s="9"/>
      <c r="M841" s="32"/>
      <c r="N841" s="9"/>
      <c r="O841" s="9"/>
      <c r="P841" s="9"/>
      <c r="Q841" s="9"/>
      <c r="R841" s="9"/>
    </row>
    <row r="842">
      <c r="B842" s="125"/>
      <c r="C842" s="125"/>
      <c r="D842" s="125"/>
      <c r="E842" s="125"/>
      <c r="G842" s="9"/>
      <c r="H842" s="9"/>
      <c r="I842" s="9"/>
      <c r="J842" s="9"/>
      <c r="K842" s="9"/>
      <c r="L842" s="9"/>
      <c r="M842" s="32"/>
      <c r="N842" s="9"/>
      <c r="O842" s="9"/>
      <c r="P842" s="9"/>
      <c r="Q842" s="9"/>
      <c r="R842" s="9"/>
    </row>
    <row r="843">
      <c r="B843" s="125"/>
      <c r="C843" s="125"/>
      <c r="D843" s="125"/>
      <c r="E843" s="125"/>
      <c r="G843" s="9"/>
      <c r="H843" s="9"/>
      <c r="I843" s="9"/>
      <c r="J843" s="9"/>
      <c r="K843" s="9"/>
      <c r="L843" s="9"/>
      <c r="M843" s="32"/>
      <c r="N843" s="9"/>
      <c r="O843" s="9"/>
      <c r="P843" s="9"/>
      <c r="Q843" s="9"/>
      <c r="R843" s="9"/>
    </row>
    <row r="844">
      <c r="B844" s="125"/>
      <c r="C844" s="125"/>
      <c r="D844" s="125"/>
      <c r="E844" s="125"/>
      <c r="G844" s="9"/>
      <c r="H844" s="9"/>
      <c r="I844" s="9"/>
      <c r="J844" s="9"/>
      <c r="K844" s="9"/>
      <c r="L844" s="9"/>
      <c r="M844" s="32"/>
      <c r="N844" s="9"/>
      <c r="O844" s="9"/>
      <c r="P844" s="9"/>
      <c r="Q844" s="9"/>
      <c r="R844" s="9"/>
    </row>
    <row r="845">
      <c r="B845" s="125"/>
      <c r="C845" s="125"/>
      <c r="D845" s="125"/>
      <c r="E845" s="125"/>
      <c r="G845" s="9"/>
      <c r="H845" s="9"/>
      <c r="I845" s="9"/>
      <c r="J845" s="9"/>
      <c r="K845" s="9"/>
      <c r="L845" s="9"/>
      <c r="M845" s="32"/>
      <c r="N845" s="9"/>
      <c r="O845" s="9"/>
      <c r="P845" s="9"/>
      <c r="Q845" s="9"/>
      <c r="R845" s="9"/>
    </row>
    <row r="846">
      <c r="B846" s="125"/>
      <c r="C846" s="125"/>
      <c r="D846" s="125"/>
      <c r="E846" s="125"/>
      <c r="G846" s="9"/>
      <c r="H846" s="9"/>
      <c r="I846" s="9"/>
      <c r="J846" s="9"/>
      <c r="K846" s="9"/>
      <c r="L846" s="9"/>
      <c r="M846" s="32"/>
      <c r="N846" s="9"/>
      <c r="O846" s="9"/>
      <c r="P846" s="9"/>
      <c r="Q846" s="9"/>
      <c r="R846" s="9"/>
    </row>
    <row r="847">
      <c r="B847" s="125"/>
      <c r="C847" s="125"/>
      <c r="D847" s="125"/>
      <c r="E847" s="125"/>
      <c r="G847" s="9"/>
      <c r="H847" s="9"/>
      <c r="I847" s="9"/>
      <c r="J847" s="9"/>
      <c r="K847" s="9"/>
      <c r="L847" s="9"/>
      <c r="M847" s="32"/>
      <c r="N847" s="9"/>
      <c r="O847" s="9"/>
      <c r="P847" s="9"/>
      <c r="Q847" s="9"/>
      <c r="R847" s="9"/>
    </row>
    <row r="848">
      <c r="B848" s="125"/>
      <c r="C848" s="125"/>
      <c r="D848" s="125"/>
      <c r="E848" s="125"/>
      <c r="G848" s="9"/>
      <c r="H848" s="9"/>
      <c r="I848" s="9"/>
      <c r="J848" s="9"/>
      <c r="K848" s="9"/>
      <c r="L848" s="9"/>
      <c r="M848" s="32"/>
      <c r="N848" s="9"/>
      <c r="O848" s="9"/>
      <c r="P848" s="9"/>
      <c r="Q848" s="9"/>
      <c r="R848" s="9"/>
    </row>
    <row r="849">
      <c r="B849" s="125"/>
      <c r="C849" s="125"/>
      <c r="D849" s="125"/>
      <c r="E849" s="125"/>
      <c r="G849" s="9"/>
      <c r="H849" s="9"/>
      <c r="I849" s="9"/>
      <c r="J849" s="9"/>
      <c r="K849" s="9"/>
      <c r="L849" s="9"/>
      <c r="M849" s="32"/>
      <c r="N849" s="9"/>
      <c r="O849" s="9"/>
      <c r="P849" s="9"/>
      <c r="Q849" s="9"/>
      <c r="R849" s="9"/>
    </row>
    <row r="850">
      <c r="B850" s="125"/>
      <c r="C850" s="125"/>
      <c r="D850" s="125"/>
      <c r="E850" s="125"/>
      <c r="G850" s="9"/>
      <c r="H850" s="9"/>
      <c r="I850" s="9"/>
      <c r="J850" s="9"/>
      <c r="K850" s="9"/>
      <c r="L850" s="9"/>
      <c r="M850" s="32"/>
      <c r="N850" s="9"/>
      <c r="O850" s="9"/>
      <c r="P850" s="9"/>
      <c r="Q850" s="9"/>
      <c r="R850" s="9"/>
    </row>
    <row r="851">
      <c r="B851" s="125"/>
      <c r="C851" s="125"/>
      <c r="D851" s="125"/>
      <c r="E851" s="125"/>
      <c r="G851" s="9"/>
      <c r="H851" s="9"/>
      <c r="I851" s="9"/>
      <c r="J851" s="9"/>
      <c r="K851" s="9"/>
      <c r="L851" s="9"/>
      <c r="M851" s="32"/>
      <c r="N851" s="9"/>
      <c r="O851" s="9"/>
      <c r="P851" s="9"/>
      <c r="Q851" s="9"/>
      <c r="R851" s="9"/>
    </row>
    <row r="852">
      <c r="B852" s="125"/>
      <c r="C852" s="125"/>
      <c r="D852" s="125"/>
      <c r="E852" s="125"/>
      <c r="G852" s="9"/>
      <c r="H852" s="9"/>
      <c r="I852" s="9"/>
      <c r="J852" s="9"/>
      <c r="K852" s="9"/>
      <c r="L852" s="9"/>
      <c r="M852" s="32"/>
      <c r="N852" s="9"/>
      <c r="O852" s="9"/>
      <c r="P852" s="9"/>
      <c r="Q852" s="9"/>
      <c r="R852" s="9"/>
    </row>
    <row r="853">
      <c r="B853" s="125"/>
      <c r="C853" s="125"/>
      <c r="D853" s="125"/>
      <c r="E853" s="125"/>
      <c r="G853" s="9"/>
      <c r="H853" s="9"/>
      <c r="I853" s="9"/>
      <c r="J853" s="9"/>
      <c r="K853" s="9"/>
      <c r="L853" s="9"/>
      <c r="M853" s="32"/>
      <c r="N853" s="9"/>
      <c r="O853" s="9"/>
      <c r="P853" s="9"/>
      <c r="Q853" s="9"/>
      <c r="R853" s="9"/>
    </row>
    <row r="854">
      <c r="B854" s="125"/>
      <c r="C854" s="125"/>
      <c r="D854" s="125"/>
      <c r="E854" s="125"/>
      <c r="G854" s="9"/>
      <c r="H854" s="9"/>
      <c r="I854" s="9"/>
      <c r="J854" s="9"/>
      <c r="K854" s="9"/>
      <c r="L854" s="9"/>
      <c r="M854" s="32"/>
      <c r="N854" s="9"/>
      <c r="O854" s="9"/>
      <c r="P854" s="9"/>
      <c r="Q854" s="9"/>
      <c r="R854" s="9"/>
    </row>
    <row r="855">
      <c r="B855" s="125"/>
      <c r="C855" s="125"/>
      <c r="D855" s="125"/>
      <c r="E855" s="125"/>
      <c r="G855" s="9"/>
      <c r="H855" s="9"/>
      <c r="I855" s="9"/>
      <c r="J855" s="9"/>
      <c r="K855" s="9"/>
      <c r="L855" s="9"/>
      <c r="M855" s="32"/>
      <c r="N855" s="9"/>
      <c r="O855" s="9"/>
      <c r="P855" s="9"/>
      <c r="Q855" s="9"/>
      <c r="R855" s="9"/>
    </row>
    <row r="856">
      <c r="B856" s="125"/>
      <c r="C856" s="125"/>
      <c r="D856" s="125"/>
      <c r="E856" s="125"/>
      <c r="G856" s="9"/>
      <c r="H856" s="9"/>
      <c r="I856" s="9"/>
      <c r="J856" s="9"/>
      <c r="K856" s="9"/>
      <c r="L856" s="9"/>
      <c r="M856" s="32"/>
      <c r="N856" s="9"/>
      <c r="O856" s="9"/>
      <c r="P856" s="9"/>
      <c r="Q856" s="9"/>
      <c r="R856" s="9"/>
    </row>
    <row r="857">
      <c r="B857" s="125"/>
      <c r="C857" s="125"/>
      <c r="D857" s="125"/>
      <c r="E857" s="125"/>
      <c r="G857" s="9"/>
      <c r="H857" s="9"/>
      <c r="I857" s="9"/>
      <c r="J857" s="9"/>
      <c r="K857" s="9"/>
      <c r="L857" s="9"/>
      <c r="M857" s="32"/>
      <c r="N857" s="9"/>
      <c r="O857" s="9"/>
      <c r="P857" s="9"/>
      <c r="Q857" s="9"/>
      <c r="R857" s="9"/>
    </row>
    <row r="858">
      <c r="B858" s="125"/>
      <c r="C858" s="125"/>
      <c r="D858" s="125"/>
      <c r="E858" s="125"/>
      <c r="G858" s="9"/>
      <c r="H858" s="9"/>
      <c r="I858" s="9"/>
      <c r="J858" s="9"/>
      <c r="K858" s="9"/>
      <c r="L858" s="9"/>
      <c r="M858" s="32"/>
      <c r="N858" s="9"/>
      <c r="O858" s="9"/>
      <c r="P858" s="9"/>
      <c r="Q858" s="9"/>
      <c r="R858" s="9"/>
    </row>
    <row r="859">
      <c r="B859" s="125"/>
      <c r="C859" s="125"/>
      <c r="D859" s="125"/>
      <c r="E859" s="125"/>
      <c r="G859" s="9"/>
      <c r="H859" s="9"/>
      <c r="I859" s="9"/>
      <c r="J859" s="9"/>
      <c r="K859" s="9"/>
      <c r="L859" s="9"/>
      <c r="M859" s="32"/>
      <c r="N859" s="9"/>
      <c r="O859" s="9"/>
      <c r="P859" s="9"/>
      <c r="Q859" s="9"/>
      <c r="R859" s="9"/>
    </row>
    <row r="860">
      <c r="B860" s="125"/>
      <c r="C860" s="125"/>
      <c r="D860" s="125"/>
      <c r="E860" s="125"/>
      <c r="G860" s="9"/>
      <c r="H860" s="9"/>
      <c r="I860" s="9"/>
      <c r="J860" s="9"/>
      <c r="K860" s="9"/>
      <c r="L860" s="9"/>
      <c r="M860" s="32"/>
      <c r="N860" s="9"/>
      <c r="O860" s="9"/>
      <c r="P860" s="9"/>
      <c r="Q860" s="9"/>
      <c r="R860" s="9"/>
    </row>
    <row r="861">
      <c r="B861" s="125"/>
      <c r="C861" s="125"/>
      <c r="D861" s="125"/>
      <c r="E861" s="125"/>
      <c r="G861" s="9"/>
      <c r="H861" s="9"/>
      <c r="I861" s="9"/>
      <c r="J861" s="9"/>
      <c r="K861" s="9"/>
      <c r="L861" s="9"/>
      <c r="M861" s="32"/>
      <c r="N861" s="9"/>
      <c r="O861" s="9"/>
      <c r="P861" s="9"/>
      <c r="Q861" s="9"/>
      <c r="R861" s="9"/>
    </row>
    <row r="862">
      <c r="B862" s="125"/>
      <c r="C862" s="125"/>
      <c r="D862" s="125"/>
      <c r="E862" s="125"/>
      <c r="G862" s="9"/>
      <c r="H862" s="9"/>
      <c r="I862" s="9"/>
      <c r="J862" s="9"/>
      <c r="K862" s="9"/>
      <c r="L862" s="9"/>
      <c r="M862" s="32"/>
      <c r="N862" s="9"/>
      <c r="O862" s="9"/>
      <c r="P862" s="9"/>
      <c r="Q862" s="9"/>
      <c r="R862" s="9"/>
    </row>
    <row r="863">
      <c r="B863" s="125"/>
      <c r="C863" s="125"/>
      <c r="D863" s="125"/>
      <c r="E863" s="125"/>
      <c r="G863" s="9"/>
      <c r="H863" s="9"/>
      <c r="I863" s="9"/>
      <c r="J863" s="9"/>
      <c r="K863" s="9"/>
      <c r="L863" s="9"/>
      <c r="M863" s="32"/>
      <c r="N863" s="9"/>
      <c r="O863" s="9"/>
      <c r="P863" s="9"/>
      <c r="Q863" s="9"/>
      <c r="R863" s="9"/>
    </row>
    <row r="864">
      <c r="B864" s="125"/>
      <c r="C864" s="125"/>
      <c r="D864" s="125"/>
      <c r="E864" s="125"/>
      <c r="G864" s="9"/>
      <c r="H864" s="9"/>
      <c r="I864" s="9"/>
      <c r="J864" s="9"/>
      <c r="K864" s="9"/>
      <c r="L864" s="9"/>
      <c r="M864" s="32"/>
      <c r="N864" s="9"/>
      <c r="O864" s="9"/>
      <c r="P864" s="9"/>
      <c r="Q864" s="9"/>
      <c r="R864" s="9"/>
    </row>
    <row r="865">
      <c r="B865" s="125"/>
      <c r="C865" s="125"/>
      <c r="D865" s="125"/>
      <c r="E865" s="125"/>
      <c r="G865" s="9"/>
      <c r="H865" s="9"/>
      <c r="I865" s="9"/>
      <c r="J865" s="9"/>
      <c r="K865" s="9"/>
      <c r="L865" s="9"/>
      <c r="M865" s="32"/>
      <c r="N865" s="9"/>
      <c r="O865" s="9"/>
      <c r="P865" s="9"/>
      <c r="Q865" s="9"/>
      <c r="R865" s="9"/>
    </row>
    <row r="866">
      <c r="B866" s="125"/>
      <c r="C866" s="125"/>
      <c r="D866" s="125"/>
      <c r="E866" s="125"/>
      <c r="G866" s="9"/>
      <c r="H866" s="9"/>
      <c r="I866" s="9"/>
      <c r="J866" s="9"/>
      <c r="K866" s="9"/>
      <c r="L866" s="9"/>
      <c r="M866" s="32"/>
      <c r="N866" s="9"/>
      <c r="O866" s="9"/>
      <c r="P866" s="9"/>
      <c r="Q866" s="9"/>
      <c r="R866" s="9"/>
    </row>
    <row r="867">
      <c r="B867" s="125"/>
      <c r="C867" s="125"/>
      <c r="D867" s="125"/>
      <c r="E867" s="125"/>
      <c r="G867" s="9"/>
      <c r="H867" s="9"/>
      <c r="I867" s="9"/>
      <c r="J867" s="9"/>
      <c r="K867" s="9"/>
      <c r="L867" s="9"/>
      <c r="M867" s="32"/>
      <c r="N867" s="9"/>
      <c r="O867" s="9"/>
      <c r="P867" s="9"/>
      <c r="Q867" s="9"/>
      <c r="R867" s="9"/>
    </row>
    <row r="868">
      <c r="B868" s="125"/>
      <c r="C868" s="125"/>
      <c r="D868" s="125"/>
      <c r="E868" s="125"/>
      <c r="G868" s="9"/>
      <c r="H868" s="9"/>
      <c r="I868" s="9"/>
      <c r="J868" s="9"/>
      <c r="K868" s="9"/>
      <c r="L868" s="9"/>
      <c r="M868" s="32"/>
      <c r="N868" s="9"/>
      <c r="O868" s="9"/>
      <c r="P868" s="9"/>
      <c r="Q868" s="9"/>
      <c r="R868" s="9"/>
    </row>
    <row r="869">
      <c r="B869" s="125"/>
      <c r="C869" s="125"/>
      <c r="D869" s="125"/>
      <c r="E869" s="125"/>
      <c r="G869" s="9"/>
      <c r="H869" s="9"/>
      <c r="I869" s="9"/>
      <c r="J869" s="9"/>
      <c r="K869" s="9"/>
      <c r="L869" s="9"/>
      <c r="M869" s="32"/>
      <c r="N869" s="9"/>
      <c r="O869" s="9"/>
      <c r="P869" s="9"/>
      <c r="Q869" s="9"/>
      <c r="R869" s="9"/>
    </row>
    <row r="870">
      <c r="B870" s="125"/>
      <c r="C870" s="125"/>
      <c r="D870" s="125"/>
      <c r="E870" s="125"/>
      <c r="G870" s="9"/>
      <c r="H870" s="9"/>
      <c r="I870" s="9"/>
      <c r="J870" s="9"/>
      <c r="K870" s="9"/>
      <c r="L870" s="9"/>
      <c r="M870" s="32"/>
      <c r="N870" s="9"/>
      <c r="O870" s="9"/>
      <c r="P870" s="9"/>
      <c r="Q870" s="9"/>
      <c r="R870" s="9"/>
    </row>
    <row r="871">
      <c r="B871" s="125"/>
      <c r="C871" s="125"/>
      <c r="D871" s="125"/>
      <c r="E871" s="125"/>
      <c r="G871" s="9"/>
      <c r="H871" s="9"/>
      <c r="I871" s="9"/>
      <c r="J871" s="9"/>
      <c r="K871" s="9"/>
      <c r="L871" s="9"/>
      <c r="M871" s="32"/>
      <c r="N871" s="9"/>
      <c r="O871" s="9"/>
      <c r="P871" s="9"/>
      <c r="Q871" s="9"/>
      <c r="R871" s="9"/>
    </row>
    <row r="872">
      <c r="B872" s="125"/>
      <c r="C872" s="125"/>
      <c r="D872" s="125"/>
      <c r="E872" s="125"/>
      <c r="G872" s="9"/>
      <c r="H872" s="9"/>
      <c r="I872" s="9"/>
      <c r="J872" s="9"/>
      <c r="K872" s="9"/>
      <c r="L872" s="9"/>
      <c r="M872" s="32"/>
      <c r="N872" s="9"/>
      <c r="O872" s="9"/>
      <c r="P872" s="9"/>
      <c r="Q872" s="9"/>
      <c r="R872" s="9"/>
    </row>
    <row r="873">
      <c r="B873" s="125"/>
      <c r="C873" s="125"/>
      <c r="D873" s="125"/>
      <c r="E873" s="125"/>
      <c r="G873" s="9"/>
      <c r="H873" s="9"/>
      <c r="I873" s="9"/>
      <c r="J873" s="9"/>
      <c r="K873" s="9"/>
      <c r="L873" s="9"/>
      <c r="M873" s="32"/>
      <c r="N873" s="9"/>
      <c r="O873" s="9"/>
      <c r="P873" s="9"/>
      <c r="Q873" s="9"/>
      <c r="R873" s="9"/>
    </row>
    <row r="874">
      <c r="B874" s="125"/>
      <c r="C874" s="125"/>
      <c r="D874" s="125"/>
      <c r="E874" s="125"/>
      <c r="G874" s="9"/>
      <c r="H874" s="9"/>
      <c r="I874" s="9"/>
      <c r="J874" s="9"/>
      <c r="K874" s="9"/>
      <c r="L874" s="9"/>
      <c r="M874" s="32"/>
      <c r="N874" s="9"/>
      <c r="O874" s="9"/>
      <c r="P874" s="9"/>
      <c r="Q874" s="9"/>
      <c r="R874" s="9"/>
    </row>
    <row r="875">
      <c r="B875" s="125"/>
      <c r="C875" s="125"/>
      <c r="D875" s="125"/>
      <c r="E875" s="125"/>
      <c r="G875" s="9"/>
      <c r="H875" s="9"/>
      <c r="I875" s="9"/>
      <c r="J875" s="9"/>
      <c r="K875" s="9"/>
      <c r="L875" s="9"/>
      <c r="M875" s="32"/>
      <c r="N875" s="9"/>
      <c r="O875" s="9"/>
      <c r="P875" s="9"/>
      <c r="Q875" s="9"/>
      <c r="R875" s="9"/>
    </row>
    <row r="876">
      <c r="B876" s="125"/>
      <c r="C876" s="125"/>
      <c r="D876" s="125"/>
      <c r="E876" s="125"/>
      <c r="G876" s="9"/>
      <c r="H876" s="9"/>
      <c r="I876" s="9"/>
      <c r="J876" s="9"/>
      <c r="K876" s="9"/>
      <c r="L876" s="9"/>
      <c r="M876" s="32"/>
      <c r="N876" s="9"/>
      <c r="O876" s="9"/>
      <c r="P876" s="9"/>
      <c r="Q876" s="9"/>
      <c r="R876" s="9"/>
    </row>
    <row r="877">
      <c r="B877" s="125"/>
      <c r="C877" s="125"/>
      <c r="D877" s="125"/>
      <c r="E877" s="125"/>
      <c r="G877" s="9"/>
      <c r="H877" s="9"/>
      <c r="I877" s="9"/>
      <c r="J877" s="9"/>
      <c r="K877" s="9"/>
      <c r="L877" s="9"/>
      <c r="M877" s="32"/>
      <c r="N877" s="9"/>
      <c r="O877" s="9"/>
      <c r="P877" s="9"/>
      <c r="Q877" s="9"/>
      <c r="R877" s="9"/>
    </row>
    <row r="878">
      <c r="B878" s="125"/>
      <c r="C878" s="125"/>
      <c r="D878" s="125"/>
      <c r="E878" s="125"/>
      <c r="G878" s="9"/>
      <c r="H878" s="9"/>
      <c r="I878" s="9"/>
      <c r="J878" s="9"/>
      <c r="K878" s="9"/>
      <c r="L878" s="9"/>
      <c r="M878" s="32"/>
      <c r="N878" s="9"/>
      <c r="O878" s="9"/>
      <c r="P878" s="9"/>
      <c r="Q878" s="9"/>
      <c r="R878" s="9"/>
    </row>
    <row r="879">
      <c r="B879" s="125"/>
      <c r="C879" s="125"/>
      <c r="D879" s="125"/>
      <c r="E879" s="125"/>
      <c r="G879" s="9"/>
      <c r="H879" s="9"/>
      <c r="I879" s="9"/>
      <c r="J879" s="9"/>
      <c r="K879" s="9"/>
      <c r="L879" s="9"/>
      <c r="M879" s="32"/>
      <c r="N879" s="9"/>
      <c r="O879" s="9"/>
      <c r="P879" s="9"/>
      <c r="Q879" s="9"/>
      <c r="R879" s="9"/>
    </row>
    <row r="880">
      <c r="B880" s="125"/>
      <c r="C880" s="125"/>
      <c r="D880" s="125"/>
      <c r="E880" s="125"/>
      <c r="G880" s="9"/>
      <c r="H880" s="9"/>
      <c r="I880" s="9"/>
      <c r="J880" s="9"/>
      <c r="K880" s="9"/>
      <c r="L880" s="9"/>
      <c r="M880" s="32"/>
      <c r="N880" s="9"/>
      <c r="O880" s="9"/>
      <c r="P880" s="9"/>
      <c r="Q880" s="9"/>
      <c r="R880" s="9"/>
    </row>
    <row r="881">
      <c r="B881" s="125"/>
      <c r="C881" s="125"/>
      <c r="D881" s="125"/>
      <c r="E881" s="125"/>
      <c r="G881" s="9"/>
      <c r="H881" s="9"/>
      <c r="I881" s="9"/>
      <c r="J881" s="9"/>
      <c r="K881" s="9"/>
      <c r="L881" s="9"/>
      <c r="M881" s="32"/>
      <c r="N881" s="9"/>
      <c r="O881" s="9"/>
      <c r="P881" s="9"/>
      <c r="Q881" s="9"/>
      <c r="R881" s="9"/>
    </row>
    <row r="882">
      <c r="B882" s="125"/>
      <c r="C882" s="125"/>
      <c r="D882" s="125"/>
      <c r="E882" s="125"/>
      <c r="G882" s="9"/>
      <c r="H882" s="9"/>
      <c r="I882" s="9"/>
      <c r="J882" s="9"/>
      <c r="K882" s="9"/>
      <c r="L882" s="9"/>
      <c r="M882" s="32"/>
      <c r="N882" s="9"/>
      <c r="O882" s="9"/>
      <c r="P882" s="9"/>
      <c r="Q882" s="9"/>
      <c r="R882" s="9"/>
    </row>
    <row r="883">
      <c r="B883" s="125"/>
      <c r="C883" s="125"/>
      <c r="D883" s="125"/>
      <c r="E883" s="125"/>
      <c r="G883" s="9"/>
      <c r="H883" s="9"/>
      <c r="I883" s="9"/>
      <c r="J883" s="9"/>
      <c r="K883" s="9"/>
      <c r="L883" s="9"/>
      <c r="M883" s="32"/>
      <c r="N883" s="9"/>
      <c r="O883" s="9"/>
      <c r="P883" s="9"/>
      <c r="Q883" s="9"/>
      <c r="R883" s="9"/>
    </row>
    <row r="884">
      <c r="B884" s="125"/>
      <c r="C884" s="125"/>
      <c r="D884" s="125"/>
      <c r="E884" s="125"/>
      <c r="G884" s="9"/>
      <c r="H884" s="9"/>
      <c r="I884" s="9"/>
      <c r="J884" s="9"/>
      <c r="K884" s="9"/>
      <c r="L884" s="9"/>
      <c r="M884" s="32"/>
      <c r="N884" s="9"/>
      <c r="O884" s="9"/>
      <c r="P884" s="9"/>
      <c r="Q884" s="9"/>
      <c r="R884" s="9"/>
    </row>
    <row r="885">
      <c r="B885" s="125"/>
      <c r="C885" s="125"/>
      <c r="D885" s="125"/>
      <c r="E885" s="125"/>
      <c r="G885" s="9"/>
      <c r="H885" s="9"/>
      <c r="I885" s="9"/>
      <c r="J885" s="9"/>
      <c r="K885" s="9"/>
      <c r="L885" s="9"/>
      <c r="M885" s="32"/>
      <c r="N885" s="9"/>
      <c r="O885" s="9"/>
      <c r="P885" s="9"/>
      <c r="Q885" s="9"/>
      <c r="R885" s="9"/>
    </row>
    <row r="886">
      <c r="B886" s="125"/>
      <c r="C886" s="125"/>
      <c r="D886" s="125"/>
      <c r="E886" s="125"/>
      <c r="G886" s="9"/>
      <c r="H886" s="9"/>
      <c r="I886" s="9"/>
      <c r="J886" s="9"/>
      <c r="K886" s="9"/>
      <c r="L886" s="9"/>
      <c r="M886" s="32"/>
      <c r="N886" s="9"/>
      <c r="O886" s="9"/>
      <c r="P886" s="9"/>
      <c r="Q886" s="9"/>
      <c r="R886" s="9"/>
    </row>
    <row r="887">
      <c r="B887" s="125"/>
      <c r="C887" s="125"/>
      <c r="D887" s="125"/>
      <c r="E887" s="125"/>
      <c r="G887" s="9"/>
      <c r="H887" s="9"/>
      <c r="I887" s="9"/>
      <c r="J887" s="9"/>
      <c r="K887" s="9"/>
      <c r="L887" s="9"/>
      <c r="M887" s="32"/>
      <c r="N887" s="9"/>
      <c r="O887" s="9"/>
      <c r="P887" s="9"/>
      <c r="Q887" s="9"/>
      <c r="R887" s="9"/>
    </row>
    <row r="888">
      <c r="B888" s="125"/>
      <c r="C888" s="125"/>
      <c r="D888" s="125"/>
      <c r="E888" s="125"/>
      <c r="G888" s="9"/>
      <c r="H888" s="9"/>
      <c r="I888" s="9"/>
      <c r="J888" s="9"/>
      <c r="K888" s="9"/>
      <c r="L888" s="9"/>
      <c r="M888" s="32"/>
      <c r="N888" s="9"/>
      <c r="O888" s="9"/>
      <c r="P888" s="9"/>
      <c r="Q888" s="9"/>
      <c r="R888" s="9"/>
    </row>
    <row r="889">
      <c r="B889" s="125"/>
      <c r="C889" s="125"/>
      <c r="D889" s="125"/>
      <c r="E889" s="125"/>
      <c r="G889" s="9"/>
      <c r="H889" s="9"/>
      <c r="I889" s="9"/>
      <c r="J889" s="9"/>
      <c r="K889" s="9"/>
      <c r="L889" s="9"/>
      <c r="M889" s="32"/>
      <c r="N889" s="9"/>
      <c r="O889" s="9"/>
      <c r="P889" s="9"/>
      <c r="Q889" s="9"/>
      <c r="R889" s="9"/>
    </row>
    <row r="890">
      <c r="B890" s="125"/>
      <c r="C890" s="125"/>
      <c r="D890" s="125"/>
      <c r="E890" s="125"/>
      <c r="G890" s="9"/>
      <c r="H890" s="9"/>
      <c r="I890" s="9"/>
      <c r="J890" s="9"/>
      <c r="K890" s="9"/>
      <c r="L890" s="9"/>
      <c r="M890" s="32"/>
      <c r="N890" s="9"/>
      <c r="O890" s="9"/>
      <c r="P890" s="9"/>
      <c r="Q890" s="9"/>
      <c r="R890" s="9"/>
    </row>
    <row r="891">
      <c r="B891" s="125"/>
      <c r="C891" s="125"/>
      <c r="D891" s="125"/>
      <c r="E891" s="125"/>
      <c r="G891" s="9"/>
      <c r="H891" s="9"/>
      <c r="I891" s="9"/>
      <c r="J891" s="9"/>
      <c r="K891" s="9"/>
      <c r="L891" s="9"/>
      <c r="M891" s="32"/>
      <c r="N891" s="9"/>
      <c r="O891" s="9"/>
      <c r="P891" s="9"/>
      <c r="Q891" s="9"/>
      <c r="R891" s="9"/>
    </row>
    <row r="892">
      <c r="B892" s="125"/>
      <c r="C892" s="125"/>
      <c r="D892" s="125"/>
      <c r="E892" s="125"/>
      <c r="G892" s="9"/>
      <c r="H892" s="9"/>
      <c r="I892" s="9"/>
      <c r="J892" s="9"/>
      <c r="K892" s="9"/>
      <c r="L892" s="9"/>
      <c r="M892" s="32"/>
      <c r="N892" s="9"/>
      <c r="O892" s="9"/>
      <c r="P892" s="9"/>
      <c r="Q892" s="9"/>
      <c r="R892" s="9"/>
    </row>
    <row r="893">
      <c r="B893" s="125"/>
      <c r="C893" s="125"/>
      <c r="D893" s="125"/>
      <c r="E893" s="125"/>
      <c r="G893" s="9"/>
      <c r="H893" s="9"/>
      <c r="I893" s="9"/>
      <c r="J893" s="9"/>
      <c r="K893" s="9"/>
      <c r="L893" s="9"/>
      <c r="M893" s="32"/>
      <c r="N893" s="9"/>
      <c r="O893" s="9"/>
      <c r="P893" s="9"/>
      <c r="Q893" s="9"/>
      <c r="R893" s="9"/>
    </row>
    <row r="894">
      <c r="B894" s="125"/>
      <c r="C894" s="125"/>
      <c r="D894" s="125"/>
      <c r="E894" s="125"/>
      <c r="G894" s="9"/>
      <c r="H894" s="9"/>
      <c r="I894" s="9"/>
      <c r="J894" s="9"/>
      <c r="K894" s="9"/>
      <c r="L894" s="9"/>
      <c r="M894" s="32"/>
      <c r="N894" s="9"/>
      <c r="O894" s="9"/>
      <c r="P894" s="9"/>
      <c r="Q894" s="9"/>
      <c r="R894" s="9"/>
    </row>
    <row r="895">
      <c r="B895" s="125"/>
      <c r="C895" s="125"/>
      <c r="D895" s="125"/>
      <c r="E895" s="125"/>
      <c r="G895" s="9"/>
      <c r="H895" s="9"/>
      <c r="I895" s="9"/>
      <c r="J895" s="9"/>
      <c r="K895" s="9"/>
      <c r="L895" s="9"/>
      <c r="M895" s="32"/>
      <c r="N895" s="9"/>
      <c r="O895" s="9"/>
      <c r="P895" s="9"/>
      <c r="Q895" s="9"/>
      <c r="R895" s="9"/>
    </row>
    <row r="896">
      <c r="B896" s="125"/>
      <c r="C896" s="125"/>
      <c r="D896" s="125"/>
      <c r="E896" s="125"/>
      <c r="G896" s="9"/>
      <c r="H896" s="9"/>
      <c r="I896" s="9"/>
      <c r="J896" s="9"/>
      <c r="K896" s="9"/>
      <c r="L896" s="9"/>
      <c r="M896" s="32"/>
      <c r="N896" s="9"/>
      <c r="O896" s="9"/>
      <c r="P896" s="9"/>
      <c r="Q896" s="9"/>
      <c r="R896" s="9"/>
    </row>
    <row r="897">
      <c r="B897" s="125"/>
      <c r="C897" s="125"/>
      <c r="D897" s="125"/>
      <c r="E897" s="125"/>
      <c r="G897" s="9"/>
      <c r="H897" s="9"/>
      <c r="I897" s="9"/>
      <c r="J897" s="9"/>
      <c r="K897" s="9"/>
      <c r="L897" s="9"/>
      <c r="M897" s="32"/>
      <c r="N897" s="9"/>
      <c r="O897" s="9"/>
      <c r="P897" s="9"/>
      <c r="Q897" s="9"/>
      <c r="R897" s="9"/>
    </row>
    <row r="898">
      <c r="B898" s="125"/>
      <c r="C898" s="125"/>
      <c r="D898" s="125"/>
      <c r="E898" s="125"/>
      <c r="G898" s="9"/>
      <c r="H898" s="9"/>
      <c r="I898" s="9"/>
      <c r="J898" s="9"/>
      <c r="K898" s="9"/>
      <c r="L898" s="9"/>
      <c r="M898" s="32"/>
      <c r="N898" s="9"/>
      <c r="O898" s="9"/>
      <c r="P898" s="9"/>
      <c r="Q898" s="9"/>
      <c r="R898" s="9"/>
    </row>
    <row r="899">
      <c r="B899" s="125"/>
      <c r="C899" s="125"/>
      <c r="D899" s="125"/>
      <c r="E899" s="125"/>
      <c r="G899" s="9"/>
      <c r="H899" s="9"/>
      <c r="I899" s="9"/>
      <c r="J899" s="9"/>
      <c r="K899" s="9"/>
      <c r="L899" s="9"/>
      <c r="M899" s="32"/>
      <c r="N899" s="9"/>
      <c r="O899" s="9"/>
      <c r="P899" s="9"/>
      <c r="Q899" s="9"/>
      <c r="R899" s="9"/>
    </row>
    <row r="900">
      <c r="B900" s="125"/>
      <c r="C900" s="125"/>
      <c r="D900" s="125"/>
      <c r="E900" s="125"/>
      <c r="G900" s="9"/>
      <c r="H900" s="9"/>
      <c r="I900" s="9"/>
      <c r="J900" s="9"/>
      <c r="K900" s="9"/>
      <c r="L900" s="9"/>
      <c r="M900" s="32"/>
      <c r="N900" s="9"/>
      <c r="O900" s="9"/>
      <c r="P900" s="9"/>
      <c r="Q900" s="9"/>
      <c r="R900" s="9"/>
    </row>
    <row r="901">
      <c r="B901" s="125"/>
      <c r="C901" s="125"/>
      <c r="D901" s="125"/>
      <c r="E901" s="125"/>
      <c r="G901" s="9"/>
      <c r="H901" s="9"/>
      <c r="I901" s="9"/>
      <c r="J901" s="9"/>
      <c r="K901" s="9"/>
      <c r="L901" s="9"/>
      <c r="M901" s="32"/>
      <c r="N901" s="9"/>
      <c r="O901" s="9"/>
      <c r="P901" s="9"/>
      <c r="Q901" s="9"/>
      <c r="R901" s="9"/>
    </row>
    <row r="902">
      <c r="B902" s="125"/>
      <c r="C902" s="125"/>
      <c r="D902" s="125"/>
      <c r="E902" s="125"/>
      <c r="G902" s="9"/>
      <c r="H902" s="9"/>
      <c r="I902" s="9"/>
      <c r="J902" s="9"/>
      <c r="K902" s="9"/>
      <c r="L902" s="9"/>
      <c r="M902" s="32"/>
      <c r="N902" s="9"/>
      <c r="O902" s="9"/>
      <c r="P902" s="9"/>
      <c r="Q902" s="9"/>
      <c r="R902" s="9"/>
    </row>
    <row r="903">
      <c r="B903" s="125"/>
      <c r="C903" s="125"/>
      <c r="D903" s="125"/>
      <c r="E903" s="125"/>
      <c r="G903" s="9"/>
      <c r="H903" s="9"/>
      <c r="I903" s="9"/>
      <c r="J903" s="9"/>
      <c r="K903" s="9"/>
      <c r="L903" s="9"/>
      <c r="M903" s="32"/>
      <c r="N903" s="9"/>
      <c r="O903" s="9"/>
      <c r="P903" s="9"/>
      <c r="Q903" s="9"/>
      <c r="R903" s="9"/>
    </row>
    <row r="904">
      <c r="B904" s="125"/>
      <c r="C904" s="125"/>
      <c r="D904" s="125"/>
      <c r="E904" s="125"/>
      <c r="G904" s="9"/>
      <c r="H904" s="9"/>
      <c r="I904" s="9"/>
      <c r="J904" s="9"/>
      <c r="K904" s="9"/>
      <c r="L904" s="9"/>
      <c r="M904" s="32"/>
      <c r="N904" s="9"/>
      <c r="O904" s="9"/>
      <c r="P904" s="9"/>
      <c r="Q904" s="9"/>
      <c r="R904" s="9"/>
    </row>
    <row r="905">
      <c r="B905" s="125"/>
      <c r="C905" s="125"/>
      <c r="D905" s="125"/>
      <c r="E905" s="125"/>
      <c r="G905" s="9"/>
      <c r="H905" s="9"/>
      <c r="I905" s="9"/>
      <c r="J905" s="9"/>
      <c r="K905" s="9"/>
      <c r="L905" s="9"/>
      <c r="M905" s="32"/>
      <c r="N905" s="9"/>
      <c r="O905" s="9"/>
      <c r="P905" s="9"/>
      <c r="Q905" s="9"/>
      <c r="R905" s="9"/>
    </row>
    <row r="906">
      <c r="B906" s="125"/>
      <c r="C906" s="125"/>
      <c r="D906" s="125"/>
      <c r="E906" s="125"/>
      <c r="G906" s="9"/>
      <c r="H906" s="9"/>
      <c r="I906" s="9"/>
      <c r="J906" s="9"/>
      <c r="K906" s="9"/>
      <c r="L906" s="9"/>
      <c r="M906" s="32"/>
      <c r="N906" s="9"/>
      <c r="O906" s="9"/>
      <c r="P906" s="9"/>
      <c r="Q906" s="9"/>
      <c r="R906" s="9"/>
    </row>
    <row r="907">
      <c r="B907" s="125"/>
      <c r="C907" s="125"/>
      <c r="D907" s="125"/>
      <c r="E907" s="125"/>
      <c r="G907" s="9"/>
      <c r="H907" s="9"/>
      <c r="I907" s="9"/>
      <c r="J907" s="9"/>
      <c r="K907" s="9"/>
      <c r="L907" s="9"/>
      <c r="M907" s="32"/>
      <c r="N907" s="9"/>
      <c r="O907" s="9"/>
      <c r="P907" s="9"/>
      <c r="Q907" s="9"/>
      <c r="R907" s="9"/>
    </row>
    <row r="908">
      <c r="B908" s="125"/>
      <c r="C908" s="125"/>
      <c r="D908" s="125"/>
      <c r="E908" s="125"/>
      <c r="G908" s="9"/>
      <c r="H908" s="9"/>
      <c r="I908" s="9"/>
      <c r="J908" s="9"/>
      <c r="K908" s="9"/>
      <c r="L908" s="9"/>
      <c r="M908" s="32"/>
      <c r="N908" s="9"/>
      <c r="O908" s="9"/>
      <c r="P908" s="9"/>
      <c r="Q908" s="9"/>
      <c r="R908" s="9"/>
    </row>
    <row r="909">
      <c r="B909" s="125"/>
      <c r="C909" s="125"/>
      <c r="D909" s="125"/>
      <c r="E909" s="125"/>
      <c r="G909" s="9"/>
      <c r="H909" s="9"/>
      <c r="I909" s="9"/>
      <c r="J909" s="9"/>
      <c r="K909" s="9"/>
      <c r="L909" s="9"/>
      <c r="M909" s="32"/>
      <c r="N909" s="9"/>
      <c r="O909" s="9"/>
      <c r="P909" s="9"/>
      <c r="Q909" s="9"/>
      <c r="R909" s="9"/>
    </row>
    <row r="910">
      <c r="B910" s="125"/>
      <c r="C910" s="125"/>
      <c r="D910" s="125"/>
      <c r="E910" s="125"/>
      <c r="G910" s="9"/>
      <c r="H910" s="9"/>
      <c r="I910" s="9"/>
      <c r="J910" s="9"/>
      <c r="K910" s="9"/>
      <c r="L910" s="9"/>
      <c r="M910" s="32"/>
      <c r="N910" s="9"/>
      <c r="O910" s="9"/>
      <c r="P910" s="9"/>
      <c r="Q910" s="9"/>
      <c r="R910" s="9"/>
    </row>
    <row r="911">
      <c r="B911" s="125"/>
      <c r="C911" s="125"/>
      <c r="D911" s="125"/>
      <c r="E911" s="125"/>
      <c r="G911" s="9"/>
      <c r="H911" s="9"/>
      <c r="I911" s="9"/>
      <c r="J911" s="9"/>
      <c r="K911" s="9"/>
      <c r="L911" s="9"/>
      <c r="M911" s="32"/>
      <c r="N911" s="9"/>
      <c r="O911" s="9"/>
      <c r="P911" s="9"/>
      <c r="Q911" s="9"/>
      <c r="R911" s="9"/>
    </row>
    <row r="912">
      <c r="B912" s="125"/>
      <c r="C912" s="125"/>
      <c r="D912" s="125"/>
      <c r="E912" s="125"/>
      <c r="G912" s="9"/>
      <c r="H912" s="9"/>
      <c r="I912" s="9"/>
      <c r="J912" s="9"/>
      <c r="K912" s="9"/>
      <c r="L912" s="9"/>
      <c r="M912" s="32"/>
      <c r="N912" s="9"/>
      <c r="O912" s="9"/>
      <c r="P912" s="9"/>
      <c r="Q912" s="9"/>
      <c r="R912" s="9"/>
    </row>
    <row r="913">
      <c r="B913" s="125"/>
      <c r="C913" s="125"/>
      <c r="D913" s="125"/>
      <c r="E913" s="125"/>
      <c r="G913" s="9"/>
      <c r="H913" s="9"/>
      <c r="I913" s="9"/>
      <c r="J913" s="9"/>
      <c r="K913" s="9"/>
      <c r="L913" s="9"/>
      <c r="M913" s="32"/>
      <c r="N913" s="9"/>
      <c r="O913" s="9"/>
      <c r="P913" s="9"/>
      <c r="Q913" s="9"/>
      <c r="R913" s="9"/>
    </row>
    <row r="914">
      <c r="B914" s="125"/>
      <c r="C914" s="125"/>
      <c r="D914" s="125"/>
      <c r="E914" s="125"/>
      <c r="G914" s="9"/>
      <c r="H914" s="9"/>
      <c r="I914" s="9"/>
      <c r="J914" s="9"/>
      <c r="K914" s="9"/>
      <c r="L914" s="9"/>
      <c r="M914" s="32"/>
      <c r="N914" s="9"/>
      <c r="O914" s="9"/>
      <c r="P914" s="9"/>
      <c r="Q914" s="9"/>
      <c r="R914" s="9"/>
    </row>
    <row r="915">
      <c r="B915" s="125"/>
      <c r="C915" s="125"/>
      <c r="D915" s="125"/>
      <c r="E915" s="125"/>
      <c r="G915" s="9"/>
      <c r="H915" s="9"/>
      <c r="I915" s="9"/>
      <c r="J915" s="9"/>
      <c r="K915" s="9"/>
      <c r="L915" s="9"/>
      <c r="M915" s="32"/>
      <c r="N915" s="9"/>
      <c r="O915" s="9"/>
      <c r="P915" s="9"/>
      <c r="Q915" s="9"/>
      <c r="R915" s="9"/>
    </row>
    <row r="916">
      <c r="B916" s="125"/>
      <c r="C916" s="125"/>
      <c r="D916" s="125"/>
      <c r="E916" s="125"/>
      <c r="G916" s="9"/>
      <c r="H916" s="9"/>
      <c r="I916" s="9"/>
      <c r="J916" s="9"/>
      <c r="K916" s="9"/>
      <c r="L916" s="9"/>
      <c r="M916" s="32"/>
      <c r="N916" s="9"/>
      <c r="O916" s="9"/>
      <c r="P916" s="9"/>
      <c r="Q916" s="9"/>
      <c r="R916" s="9"/>
    </row>
    <row r="917">
      <c r="B917" s="125"/>
      <c r="C917" s="125"/>
      <c r="D917" s="125"/>
      <c r="E917" s="125"/>
      <c r="G917" s="9"/>
      <c r="H917" s="9"/>
      <c r="I917" s="9"/>
      <c r="J917" s="9"/>
      <c r="K917" s="9"/>
      <c r="L917" s="9"/>
      <c r="M917" s="32"/>
      <c r="N917" s="9"/>
      <c r="O917" s="9"/>
      <c r="P917" s="9"/>
      <c r="Q917" s="9"/>
      <c r="R917" s="9"/>
    </row>
    <row r="918">
      <c r="B918" s="125"/>
      <c r="C918" s="125"/>
      <c r="D918" s="125"/>
      <c r="E918" s="125"/>
      <c r="G918" s="9"/>
      <c r="H918" s="9"/>
      <c r="I918" s="9"/>
      <c r="J918" s="9"/>
      <c r="K918" s="9"/>
      <c r="L918" s="9"/>
      <c r="M918" s="32"/>
      <c r="N918" s="9"/>
      <c r="O918" s="9"/>
      <c r="P918" s="9"/>
      <c r="Q918" s="9"/>
      <c r="R918" s="9"/>
    </row>
    <row r="919">
      <c r="B919" s="125"/>
      <c r="C919" s="125"/>
      <c r="D919" s="125"/>
      <c r="E919" s="125"/>
      <c r="G919" s="9"/>
      <c r="H919" s="9"/>
      <c r="I919" s="9"/>
      <c r="J919" s="9"/>
      <c r="K919" s="9"/>
      <c r="L919" s="9"/>
      <c r="M919" s="32"/>
      <c r="N919" s="9"/>
      <c r="O919" s="9"/>
      <c r="P919" s="9"/>
      <c r="Q919" s="9"/>
      <c r="R919" s="9"/>
    </row>
    <row r="920">
      <c r="B920" s="125"/>
      <c r="C920" s="125"/>
      <c r="D920" s="125"/>
      <c r="E920" s="125"/>
      <c r="G920" s="9"/>
      <c r="H920" s="9"/>
      <c r="I920" s="9"/>
      <c r="J920" s="9"/>
      <c r="K920" s="9"/>
      <c r="L920" s="9"/>
      <c r="M920" s="32"/>
      <c r="N920" s="9"/>
      <c r="O920" s="9"/>
      <c r="P920" s="9"/>
      <c r="Q920" s="9"/>
      <c r="R920" s="9"/>
    </row>
    <row r="921">
      <c r="B921" s="125"/>
      <c r="C921" s="125"/>
      <c r="D921" s="125"/>
      <c r="E921" s="125"/>
      <c r="G921" s="9"/>
      <c r="H921" s="9"/>
      <c r="I921" s="9"/>
      <c r="J921" s="9"/>
      <c r="K921" s="9"/>
      <c r="L921" s="9"/>
      <c r="M921" s="32"/>
      <c r="N921" s="9"/>
      <c r="O921" s="9"/>
      <c r="P921" s="9"/>
      <c r="Q921" s="9"/>
      <c r="R921" s="9"/>
    </row>
    <row r="922">
      <c r="B922" s="125"/>
      <c r="C922" s="125"/>
      <c r="D922" s="125"/>
      <c r="E922" s="125"/>
      <c r="G922" s="9"/>
      <c r="H922" s="9"/>
      <c r="I922" s="9"/>
      <c r="J922" s="9"/>
      <c r="K922" s="9"/>
      <c r="L922" s="9"/>
      <c r="M922" s="32"/>
      <c r="N922" s="9"/>
      <c r="O922" s="9"/>
      <c r="P922" s="9"/>
      <c r="Q922" s="9"/>
      <c r="R922" s="9"/>
    </row>
    <row r="923">
      <c r="B923" s="125"/>
      <c r="C923" s="125"/>
      <c r="D923" s="125"/>
      <c r="E923" s="125"/>
      <c r="G923" s="9"/>
      <c r="H923" s="9"/>
      <c r="I923" s="9"/>
      <c r="J923" s="9"/>
      <c r="K923" s="9"/>
      <c r="L923" s="9"/>
      <c r="M923" s="32"/>
      <c r="N923" s="9"/>
      <c r="O923" s="9"/>
      <c r="P923" s="9"/>
      <c r="Q923" s="9"/>
      <c r="R923" s="9"/>
    </row>
    <row r="924">
      <c r="B924" s="125"/>
      <c r="C924" s="125"/>
      <c r="D924" s="125"/>
      <c r="E924" s="125"/>
      <c r="G924" s="9"/>
      <c r="H924" s="9"/>
      <c r="I924" s="9"/>
      <c r="J924" s="9"/>
      <c r="K924" s="9"/>
      <c r="L924" s="9"/>
      <c r="M924" s="32"/>
      <c r="N924" s="9"/>
      <c r="O924" s="9"/>
      <c r="P924" s="9"/>
      <c r="Q924" s="9"/>
      <c r="R924" s="9"/>
    </row>
    <row r="925">
      <c r="B925" s="125"/>
      <c r="C925" s="125"/>
      <c r="D925" s="125"/>
      <c r="E925" s="125"/>
      <c r="G925" s="9"/>
      <c r="H925" s="9"/>
      <c r="I925" s="9"/>
      <c r="J925" s="9"/>
      <c r="K925" s="9"/>
      <c r="L925" s="9"/>
      <c r="M925" s="32"/>
      <c r="N925" s="9"/>
      <c r="O925" s="9"/>
      <c r="P925" s="9"/>
      <c r="Q925" s="9"/>
      <c r="R925" s="9"/>
    </row>
    <row r="926">
      <c r="B926" s="125"/>
      <c r="C926" s="125"/>
      <c r="D926" s="125"/>
      <c r="E926" s="125"/>
      <c r="G926" s="9"/>
      <c r="H926" s="9"/>
      <c r="I926" s="9"/>
      <c r="J926" s="9"/>
      <c r="K926" s="9"/>
      <c r="L926" s="9"/>
      <c r="M926" s="32"/>
      <c r="N926" s="9"/>
      <c r="O926" s="9"/>
      <c r="P926" s="9"/>
      <c r="Q926" s="9"/>
      <c r="R926" s="9"/>
    </row>
    <row r="927">
      <c r="B927" s="125"/>
      <c r="C927" s="125"/>
      <c r="D927" s="125"/>
      <c r="E927" s="125"/>
      <c r="G927" s="9"/>
      <c r="H927" s="9"/>
      <c r="I927" s="9"/>
      <c r="J927" s="9"/>
      <c r="K927" s="9"/>
      <c r="L927" s="9"/>
      <c r="M927" s="32"/>
      <c r="N927" s="9"/>
      <c r="O927" s="9"/>
      <c r="P927" s="9"/>
      <c r="Q927" s="9"/>
      <c r="R927" s="9"/>
    </row>
    <row r="928">
      <c r="B928" s="125"/>
      <c r="C928" s="125"/>
      <c r="D928" s="125"/>
      <c r="E928" s="125"/>
      <c r="G928" s="9"/>
      <c r="H928" s="9"/>
      <c r="I928" s="9"/>
      <c r="J928" s="9"/>
      <c r="K928" s="9"/>
      <c r="L928" s="9"/>
      <c r="M928" s="32"/>
      <c r="N928" s="9"/>
      <c r="O928" s="9"/>
      <c r="P928" s="9"/>
      <c r="Q928" s="9"/>
      <c r="R928" s="9"/>
    </row>
    <row r="929">
      <c r="B929" s="125"/>
      <c r="C929" s="125"/>
      <c r="D929" s="125"/>
      <c r="E929" s="125"/>
      <c r="G929" s="9"/>
      <c r="H929" s="9"/>
      <c r="I929" s="9"/>
      <c r="J929" s="9"/>
      <c r="K929" s="9"/>
      <c r="L929" s="9"/>
      <c r="M929" s="32"/>
      <c r="N929" s="9"/>
      <c r="O929" s="9"/>
      <c r="P929" s="9"/>
      <c r="Q929" s="9"/>
      <c r="R929" s="9"/>
    </row>
    <row r="930">
      <c r="B930" s="125"/>
      <c r="C930" s="125"/>
      <c r="D930" s="125"/>
      <c r="E930" s="125"/>
      <c r="G930" s="9"/>
      <c r="H930" s="9"/>
      <c r="I930" s="9"/>
      <c r="J930" s="9"/>
      <c r="K930" s="9"/>
      <c r="L930" s="9"/>
      <c r="M930" s="32"/>
      <c r="N930" s="9"/>
      <c r="O930" s="9"/>
      <c r="P930" s="9"/>
      <c r="Q930" s="9"/>
      <c r="R930" s="9"/>
    </row>
    <row r="931">
      <c r="B931" s="125"/>
      <c r="C931" s="125"/>
      <c r="D931" s="125"/>
      <c r="E931" s="125"/>
      <c r="G931" s="9"/>
      <c r="H931" s="9"/>
      <c r="I931" s="9"/>
      <c r="J931" s="9"/>
      <c r="K931" s="9"/>
      <c r="L931" s="9"/>
      <c r="M931" s="32"/>
      <c r="N931" s="9"/>
      <c r="O931" s="9"/>
      <c r="P931" s="9"/>
      <c r="Q931" s="9"/>
      <c r="R931" s="9"/>
    </row>
    <row r="932">
      <c r="B932" s="125"/>
      <c r="C932" s="125"/>
      <c r="D932" s="125"/>
      <c r="E932" s="125"/>
      <c r="G932" s="9"/>
      <c r="H932" s="9"/>
      <c r="I932" s="9"/>
      <c r="J932" s="9"/>
      <c r="K932" s="9"/>
      <c r="L932" s="9"/>
      <c r="M932" s="32"/>
      <c r="N932" s="9"/>
      <c r="O932" s="9"/>
      <c r="P932" s="9"/>
      <c r="Q932" s="9"/>
      <c r="R932" s="9"/>
    </row>
    <row r="933">
      <c r="B933" s="125"/>
      <c r="C933" s="125"/>
      <c r="D933" s="125"/>
      <c r="E933" s="125"/>
      <c r="G933" s="9"/>
      <c r="H933" s="9"/>
      <c r="I933" s="9"/>
      <c r="J933" s="9"/>
      <c r="K933" s="9"/>
      <c r="L933" s="9"/>
      <c r="M933" s="32"/>
      <c r="N933" s="9"/>
      <c r="O933" s="9"/>
      <c r="P933" s="9"/>
      <c r="Q933" s="9"/>
      <c r="R933" s="9"/>
    </row>
    <row r="934">
      <c r="B934" s="125"/>
      <c r="C934" s="125"/>
      <c r="D934" s="125"/>
      <c r="E934" s="125"/>
      <c r="G934" s="9"/>
      <c r="H934" s="9"/>
      <c r="I934" s="9"/>
      <c r="J934" s="9"/>
      <c r="K934" s="9"/>
      <c r="L934" s="9"/>
      <c r="M934" s="32"/>
      <c r="N934" s="9"/>
      <c r="O934" s="9"/>
      <c r="P934" s="9"/>
      <c r="Q934" s="9"/>
      <c r="R934" s="9"/>
    </row>
    <row r="935">
      <c r="B935" s="125"/>
      <c r="C935" s="125"/>
      <c r="D935" s="125"/>
      <c r="E935" s="125"/>
      <c r="G935" s="9"/>
      <c r="H935" s="9"/>
      <c r="I935" s="9"/>
      <c r="J935" s="9"/>
      <c r="K935" s="9"/>
      <c r="L935" s="9"/>
      <c r="M935" s="32"/>
      <c r="N935" s="9"/>
      <c r="O935" s="9"/>
      <c r="P935" s="9"/>
      <c r="Q935" s="9"/>
      <c r="R935" s="9"/>
    </row>
    <row r="936">
      <c r="B936" s="125"/>
      <c r="C936" s="125"/>
      <c r="D936" s="125"/>
      <c r="E936" s="125"/>
      <c r="G936" s="9"/>
      <c r="H936" s="9"/>
      <c r="I936" s="9"/>
      <c r="J936" s="9"/>
      <c r="K936" s="9"/>
      <c r="L936" s="9"/>
      <c r="M936" s="32"/>
      <c r="N936" s="9"/>
      <c r="O936" s="9"/>
      <c r="P936" s="9"/>
      <c r="Q936" s="9"/>
      <c r="R936" s="9"/>
    </row>
    <row r="937">
      <c r="B937" s="125"/>
      <c r="C937" s="125"/>
      <c r="D937" s="125"/>
      <c r="E937" s="125"/>
      <c r="G937" s="9"/>
      <c r="H937" s="9"/>
      <c r="I937" s="9"/>
      <c r="J937" s="9"/>
      <c r="K937" s="9"/>
      <c r="L937" s="9"/>
      <c r="M937" s="32"/>
      <c r="N937" s="9"/>
      <c r="O937" s="9"/>
      <c r="P937" s="9"/>
      <c r="Q937" s="9"/>
      <c r="R937" s="9"/>
    </row>
    <row r="938">
      <c r="B938" s="125"/>
      <c r="C938" s="125"/>
      <c r="D938" s="125"/>
      <c r="E938" s="125"/>
      <c r="G938" s="9"/>
      <c r="H938" s="9"/>
      <c r="I938" s="9"/>
      <c r="J938" s="9"/>
      <c r="K938" s="9"/>
      <c r="L938" s="9"/>
      <c r="M938" s="32"/>
      <c r="N938" s="9"/>
      <c r="O938" s="9"/>
      <c r="P938" s="9"/>
      <c r="Q938" s="9"/>
      <c r="R938" s="9"/>
    </row>
    <row r="939">
      <c r="B939" s="125"/>
      <c r="C939" s="125"/>
      <c r="D939" s="125"/>
      <c r="E939" s="125"/>
      <c r="G939" s="9"/>
      <c r="H939" s="9"/>
      <c r="I939" s="9"/>
      <c r="J939" s="9"/>
      <c r="K939" s="9"/>
      <c r="L939" s="9"/>
      <c r="M939" s="32"/>
      <c r="N939" s="9"/>
      <c r="O939" s="9"/>
      <c r="P939" s="9"/>
      <c r="Q939" s="9"/>
      <c r="R939" s="9"/>
    </row>
    <row r="940">
      <c r="B940" s="125"/>
      <c r="C940" s="125"/>
      <c r="D940" s="125"/>
      <c r="E940" s="125"/>
      <c r="G940" s="9"/>
      <c r="H940" s="9"/>
      <c r="I940" s="9"/>
      <c r="J940" s="9"/>
      <c r="K940" s="9"/>
      <c r="L940" s="9"/>
      <c r="M940" s="32"/>
      <c r="N940" s="9"/>
      <c r="O940" s="9"/>
      <c r="P940" s="9"/>
      <c r="Q940" s="9"/>
      <c r="R940" s="9"/>
    </row>
    <row r="941">
      <c r="B941" s="125"/>
      <c r="C941" s="125"/>
      <c r="D941" s="125"/>
      <c r="E941" s="125"/>
      <c r="G941" s="9"/>
      <c r="H941" s="9"/>
      <c r="I941" s="9"/>
      <c r="J941" s="9"/>
      <c r="K941" s="9"/>
      <c r="L941" s="9"/>
      <c r="M941" s="32"/>
      <c r="N941" s="9"/>
      <c r="O941" s="9"/>
      <c r="P941" s="9"/>
      <c r="Q941" s="9"/>
      <c r="R941" s="9"/>
    </row>
    <row r="942">
      <c r="B942" s="125"/>
      <c r="C942" s="125"/>
      <c r="D942" s="125"/>
      <c r="E942" s="125"/>
      <c r="G942" s="9"/>
      <c r="H942" s="9"/>
      <c r="I942" s="9"/>
      <c r="J942" s="9"/>
      <c r="K942" s="9"/>
      <c r="L942" s="9"/>
      <c r="M942" s="32"/>
      <c r="N942" s="9"/>
      <c r="O942" s="9"/>
      <c r="P942" s="9"/>
      <c r="Q942" s="9"/>
      <c r="R942" s="9"/>
    </row>
    <row r="943">
      <c r="B943" s="125"/>
      <c r="C943" s="125"/>
      <c r="D943" s="125"/>
      <c r="E943" s="125"/>
      <c r="G943" s="9"/>
      <c r="H943" s="9"/>
      <c r="I943" s="9"/>
      <c r="J943" s="9"/>
      <c r="K943" s="9"/>
      <c r="L943" s="9"/>
      <c r="M943" s="32"/>
      <c r="N943" s="9"/>
      <c r="O943" s="9"/>
      <c r="P943" s="9"/>
      <c r="Q943" s="9"/>
      <c r="R943" s="9"/>
    </row>
    <row r="944">
      <c r="B944" s="125"/>
      <c r="C944" s="125"/>
      <c r="D944" s="125"/>
      <c r="E944" s="125"/>
      <c r="G944" s="9"/>
      <c r="H944" s="9"/>
      <c r="I944" s="9"/>
      <c r="J944" s="9"/>
      <c r="K944" s="9"/>
      <c r="L944" s="9"/>
      <c r="M944" s="32"/>
      <c r="N944" s="9"/>
      <c r="O944" s="9"/>
      <c r="P944" s="9"/>
      <c r="Q944" s="9"/>
      <c r="R944" s="9"/>
    </row>
    <row r="945">
      <c r="B945" s="125"/>
      <c r="C945" s="125"/>
      <c r="D945" s="125"/>
      <c r="E945" s="125"/>
      <c r="G945" s="9"/>
      <c r="H945" s="9"/>
      <c r="I945" s="9"/>
      <c r="J945" s="9"/>
      <c r="K945" s="9"/>
      <c r="L945" s="9"/>
      <c r="M945" s="32"/>
      <c r="N945" s="9"/>
      <c r="O945" s="9"/>
      <c r="P945" s="9"/>
      <c r="Q945" s="9"/>
      <c r="R945" s="9"/>
    </row>
    <row r="946">
      <c r="B946" s="125"/>
      <c r="C946" s="125"/>
      <c r="D946" s="125"/>
      <c r="E946" s="125"/>
      <c r="G946" s="9"/>
      <c r="H946" s="9"/>
      <c r="I946" s="9"/>
      <c r="J946" s="9"/>
      <c r="K946" s="9"/>
      <c r="L946" s="9"/>
      <c r="M946" s="32"/>
      <c r="N946" s="9"/>
      <c r="O946" s="9"/>
      <c r="P946" s="9"/>
      <c r="Q946" s="9"/>
      <c r="R946" s="9"/>
    </row>
    <row r="947">
      <c r="B947" s="125"/>
      <c r="C947" s="125"/>
      <c r="D947" s="125"/>
      <c r="E947" s="125"/>
      <c r="G947" s="9"/>
      <c r="H947" s="9"/>
      <c r="I947" s="9"/>
      <c r="J947" s="9"/>
      <c r="K947" s="9"/>
      <c r="L947" s="9"/>
      <c r="M947" s="32"/>
      <c r="N947" s="9"/>
      <c r="O947" s="9"/>
      <c r="P947" s="9"/>
      <c r="Q947" s="9"/>
      <c r="R947" s="9"/>
    </row>
    <row r="948">
      <c r="B948" s="125"/>
      <c r="C948" s="125"/>
      <c r="D948" s="125"/>
      <c r="E948" s="125"/>
      <c r="G948" s="9"/>
      <c r="H948" s="9"/>
      <c r="I948" s="9"/>
      <c r="J948" s="9"/>
      <c r="K948" s="9"/>
      <c r="L948" s="9"/>
      <c r="M948" s="32"/>
      <c r="N948" s="9"/>
      <c r="O948" s="9"/>
      <c r="P948" s="9"/>
      <c r="Q948" s="9"/>
      <c r="R948" s="9"/>
    </row>
    <row r="949">
      <c r="B949" s="125"/>
      <c r="C949" s="125"/>
      <c r="D949" s="125"/>
      <c r="E949" s="125"/>
      <c r="G949" s="9"/>
      <c r="H949" s="9"/>
      <c r="I949" s="9"/>
      <c r="J949" s="9"/>
      <c r="K949" s="9"/>
      <c r="L949" s="9"/>
      <c r="M949" s="32"/>
      <c r="N949" s="9"/>
      <c r="O949" s="9"/>
      <c r="P949" s="9"/>
      <c r="Q949" s="9"/>
      <c r="R949" s="9"/>
    </row>
    <row r="950">
      <c r="B950" s="125"/>
      <c r="C950" s="125"/>
      <c r="D950" s="125"/>
      <c r="E950" s="125"/>
      <c r="G950" s="9"/>
      <c r="H950" s="9"/>
      <c r="I950" s="9"/>
      <c r="J950" s="9"/>
      <c r="K950" s="9"/>
      <c r="L950" s="9"/>
      <c r="M950" s="32"/>
      <c r="N950" s="9"/>
      <c r="O950" s="9"/>
      <c r="P950" s="9"/>
      <c r="Q950" s="9"/>
      <c r="R950" s="9"/>
    </row>
    <row r="951">
      <c r="B951" s="125"/>
      <c r="C951" s="125"/>
      <c r="D951" s="125"/>
      <c r="E951" s="125"/>
      <c r="G951" s="9"/>
      <c r="H951" s="9"/>
      <c r="I951" s="9"/>
      <c r="J951" s="9"/>
      <c r="K951" s="9"/>
      <c r="L951" s="9"/>
      <c r="M951" s="32"/>
      <c r="N951" s="9"/>
      <c r="O951" s="9"/>
      <c r="P951" s="9"/>
      <c r="Q951" s="9"/>
      <c r="R951" s="9"/>
    </row>
    <row r="952">
      <c r="B952" s="125"/>
      <c r="C952" s="125"/>
      <c r="D952" s="125"/>
      <c r="E952" s="125"/>
      <c r="G952" s="9"/>
      <c r="H952" s="9"/>
      <c r="I952" s="9"/>
      <c r="J952" s="9"/>
      <c r="K952" s="9"/>
      <c r="L952" s="9"/>
      <c r="M952" s="32"/>
      <c r="N952" s="9"/>
      <c r="O952" s="9"/>
      <c r="P952" s="9"/>
      <c r="Q952" s="9"/>
      <c r="R952" s="9"/>
    </row>
    <row r="953">
      <c r="B953" s="125"/>
      <c r="C953" s="125"/>
      <c r="D953" s="125"/>
      <c r="E953" s="125"/>
      <c r="G953" s="9"/>
      <c r="H953" s="9"/>
      <c r="I953" s="9"/>
      <c r="J953" s="9"/>
      <c r="K953" s="9"/>
      <c r="L953" s="9"/>
      <c r="M953" s="32"/>
      <c r="N953" s="9"/>
      <c r="O953" s="9"/>
      <c r="P953" s="9"/>
      <c r="Q953" s="9"/>
      <c r="R953" s="9"/>
    </row>
    <row r="954">
      <c r="B954" s="125"/>
      <c r="C954" s="125"/>
      <c r="D954" s="125"/>
      <c r="E954" s="125"/>
      <c r="G954" s="9"/>
      <c r="H954" s="9"/>
      <c r="I954" s="9"/>
      <c r="J954" s="9"/>
      <c r="K954" s="9"/>
      <c r="L954" s="9"/>
      <c r="M954" s="32"/>
      <c r="N954" s="9"/>
      <c r="O954" s="9"/>
      <c r="P954" s="9"/>
      <c r="Q954" s="9"/>
      <c r="R954" s="9"/>
    </row>
    <row r="955">
      <c r="B955" s="125"/>
      <c r="C955" s="125"/>
      <c r="D955" s="125"/>
      <c r="E955" s="125"/>
      <c r="G955" s="9"/>
      <c r="H955" s="9"/>
      <c r="I955" s="9"/>
      <c r="J955" s="9"/>
      <c r="K955" s="9"/>
      <c r="L955" s="9"/>
      <c r="M955" s="32"/>
      <c r="N955" s="9"/>
      <c r="O955" s="9"/>
      <c r="P955" s="9"/>
      <c r="Q955" s="9"/>
      <c r="R955" s="9"/>
    </row>
    <row r="956">
      <c r="B956" s="125"/>
      <c r="C956" s="125"/>
      <c r="D956" s="125"/>
      <c r="E956" s="125"/>
      <c r="G956" s="9"/>
      <c r="H956" s="9"/>
      <c r="I956" s="9"/>
      <c r="J956" s="9"/>
      <c r="K956" s="9"/>
      <c r="L956" s="9"/>
      <c r="M956" s="32"/>
      <c r="N956" s="9"/>
      <c r="O956" s="9"/>
      <c r="P956" s="9"/>
      <c r="Q956" s="9"/>
      <c r="R956" s="9"/>
    </row>
    <row r="957">
      <c r="B957" s="125"/>
      <c r="C957" s="125"/>
      <c r="D957" s="125"/>
      <c r="E957" s="125"/>
      <c r="G957" s="9"/>
      <c r="H957" s="9"/>
      <c r="I957" s="9"/>
      <c r="J957" s="9"/>
      <c r="K957" s="9"/>
      <c r="L957" s="9"/>
      <c r="M957" s="32"/>
      <c r="N957" s="9"/>
      <c r="O957" s="9"/>
      <c r="P957" s="9"/>
      <c r="Q957" s="9"/>
      <c r="R957" s="9"/>
    </row>
    <row r="958">
      <c r="B958" s="125"/>
      <c r="C958" s="125"/>
      <c r="D958" s="125"/>
      <c r="E958" s="125"/>
      <c r="G958" s="9"/>
      <c r="H958" s="9"/>
      <c r="I958" s="9"/>
      <c r="J958" s="9"/>
      <c r="K958" s="9"/>
      <c r="L958" s="9"/>
      <c r="M958" s="32"/>
      <c r="N958" s="9"/>
      <c r="O958" s="9"/>
      <c r="P958" s="9"/>
      <c r="Q958" s="9"/>
      <c r="R958" s="9"/>
    </row>
    <row r="959">
      <c r="B959" s="125"/>
      <c r="C959" s="125"/>
      <c r="D959" s="125"/>
      <c r="E959" s="125"/>
      <c r="G959" s="9"/>
      <c r="H959" s="9"/>
      <c r="I959" s="9"/>
      <c r="J959" s="9"/>
      <c r="K959" s="9"/>
      <c r="L959" s="9"/>
      <c r="M959" s="32"/>
      <c r="N959" s="9"/>
      <c r="O959" s="9"/>
      <c r="P959" s="9"/>
      <c r="Q959" s="9"/>
      <c r="R959" s="9"/>
    </row>
    <row r="960">
      <c r="B960" s="125"/>
      <c r="C960" s="125"/>
      <c r="D960" s="125"/>
      <c r="E960" s="125"/>
      <c r="G960" s="9"/>
      <c r="H960" s="9"/>
      <c r="I960" s="9"/>
      <c r="J960" s="9"/>
      <c r="K960" s="9"/>
      <c r="L960" s="9"/>
      <c r="M960" s="32"/>
      <c r="N960" s="9"/>
      <c r="O960" s="9"/>
      <c r="P960" s="9"/>
      <c r="Q960" s="9"/>
      <c r="R960" s="9"/>
    </row>
    <row r="961">
      <c r="B961" s="125"/>
      <c r="C961" s="125"/>
      <c r="D961" s="125"/>
      <c r="E961" s="125"/>
      <c r="G961" s="9"/>
      <c r="H961" s="9"/>
      <c r="I961" s="9"/>
      <c r="J961" s="9"/>
      <c r="K961" s="9"/>
      <c r="L961" s="9"/>
      <c r="M961" s="32"/>
      <c r="N961" s="9"/>
      <c r="O961" s="9"/>
      <c r="P961" s="9"/>
      <c r="Q961" s="9"/>
      <c r="R961" s="9"/>
    </row>
    <row r="962">
      <c r="B962" s="125"/>
      <c r="C962" s="125"/>
      <c r="D962" s="125"/>
      <c r="E962" s="125"/>
      <c r="G962" s="9"/>
      <c r="H962" s="9"/>
      <c r="I962" s="9"/>
      <c r="J962" s="9"/>
      <c r="K962" s="9"/>
      <c r="L962" s="9"/>
      <c r="M962" s="32"/>
      <c r="N962" s="9"/>
      <c r="O962" s="9"/>
      <c r="P962" s="9"/>
      <c r="Q962" s="9"/>
      <c r="R962" s="9"/>
    </row>
    <row r="963">
      <c r="B963" s="125"/>
      <c r="C963" s="125"/>
      <c r="D963" s="125"/>
      <c r="E963" s="125"/>
      <c r="G963" s="9"/>
      <c r="H963" s="9"/>
      <c r="I963" s="9"/>
      <c r="J963" s="9"/>
      <c r="K963" s="9"/>
      <c r="L963" s="9"/>
      <c r="M963" s="32"/>
      <c r="N963" s="9"/>
      <c r="O963" s="9"/>
      <c r="P963" s="9"/>
      <c r="Q963" s="9"/>
      <c r="R963" s="9"/>
    </row>
    <row r="964">
      <c r="B964" s="125"/>
      <c r="C964" s="125"/>
      <c r="D964" s="125"/>
      <c r="E964" s="125"/>
      <c r="G964" s="9"/>
      <c r="H964" s="9"/>
      <c r="I964" s="9"/>
      <c r="J964" s="9"/>
      <c r="K964" s="9"/>
      <c r="L964" s="9"/>
      <c r="M964" s="32"/>
      <c r="N964" s="9"/>
      <c r="O964" s="9"/>
      <c r="P964" s="9"/>
      <c r="Q964" s="9"/>
      <c r="R964" s="9"/>
    </row>
    <row r="965">
      <c r="B965" s="125"/>
      <c r="C965" s="125"/>
      <c r="D965" s="125"/>
      <c r="E965" s="125"/>
      <c r="G965" s="9"/>
      <c r="H965" s="9"/>
      <c r="I965" s="9"/>
      <c r="J965" s="9"/>
      <c r="K965" s="9"/>
      <c r="L965" s="9"/>
      <c r="M965" s="32"/>
      <c r="N965" s="9"/>
      <c r="O965" s="9"/>
      <c r="P965" s="9"/>
      <c r="Q965" s="9"/>
      <c r="R965" s="9"/>
    </row>
    <row r="966">
      <c r="B966" s="125"/>
      <c r="C966" s="125"/>
      <c r="D966" s="125"/>
      <c r="E966" s="125"/>
      <c r="G966" s="9"/>
      <c r="H966" s="9"/>
      <c r="I966" s="9"/>
      <c r="J966" s="9"/>
      <c r="K966" s="9"/>
      <c r="L966" s="9"/>
      <c r="M966" s="32"/>
      <c r="N966" s="9"/>
      <c r="O966" s="9"/>
      <c r="P966" s="9"/>
      <c r="Q966" s="9"/>
      <c r="R966" s="9"/>
    </row>
    <row r="967">
      <c r="B967" s="125"/>
      <c r="C967" s="125"/>
      <c r="D967" s="125"/>
      <c r="E967" s="125"/>
      <c r="G967" s="9"/>
      <c r="H967" s="9"/>
      <c r="I967" s="9"/>
      <c r="J967" s="9"/>
      <c r="K967" s="9"/>
      <c r="L967" s="9"/>
      <c r="M967" s="32"/>
      <c r="N967" s="9"/>
      <c r="O967" s="9"/>
      <c r="P967" s="9"/>
      <c r="Q967" s="9"/>
      <c r="R967" s="9"/>
    </row>
    <row r="968">
      <c r="B968" s="125"/>
      <c r="C968" s="125"/>
      <c r="D968" s="125"/>
      <c r="E968" s="125"/>
      <c r="G968" s="9"/>
      <c r="H968" s="9"/>
      <c r="I968" s="9"/>
      <c r="J968" s="9"/>
      <c r="K968" s="9"/>
      <c r="L968" s="9"/>
      <c r="M968" s="32"/>
      <c r="N968" s="9"/>
      <c r="O968" s="9"/>
      <c r="P968" s="9"/>
      <c r="Q968" s="9"/>
      <c r="R968" s="9"/>
    </row>
    <row r="969">
      <c r="B969" s="125"/>
      <c r="C969" s="125"/>
      <c r="D969" s="125"/>
      <c r="E969" s="125"/>
      <c r="G969" s="9"/>
      <c r="H969" s="9"/>
      <c r="I969" s="9"/>
      <c r="J969" s="9"/>
      <c r="K969" s="9"/>
      <c r="L969" s="9"/>
      <c r="M969" s="32"/>
      <c r="N969" s="9"/>
      <c r="O969" s="9"/>
      <c r="P969" s="9"/>
      <c r="Q969" s="9"/>
      <c r="R969" s="9"/>
    </row>
    <row r="970">
      <c r="B970" s="125"/>
      <c r="C970" s="125"/>
      <c r="D970" s="125"/>
      <c r="E970" s="125"/>
      <c r="G970" s="9"/>
      <c r="H970" s="9"/>
      <c r="I970" s="9"/>
      <c r="J970" s="9"/>
      <c r="K970" s="9"/>
      <c r="L970" s="9"/>
      <c r="M970" s="32"/>
      <c r="N970" s="9"/>
      <c r="O970" s="9"/>
      <c r="P970" s="9"/>
      <c r="Q970" s="9"/>
      <c r="R970" s="9"/>
    </row>
    <row r="971">
      <c r="B971" s="125"/>
      <c r="C971" s="125"/>
      <c r="D971" s="125"/>
      <c r="E971" s="125"/>
      <c r="G971" s="9"/>
      <c r="H971" s="9"/>
      <c r="I971" s="9"/>
      <c r="J971" s="9"/>
      <c r="K971" s="9"/>
      <c r="L971" s="9"/>
      <c r="M971" s="32"/>
      <c r="N971" s="9"/>
      <c r="O971" s="9"/>
      <c r="P971" s="9"/>
      <c r="Q971" s="9"/>
      <c r="R971" s="9"/>
    </row>
    <row r="972">
      <c r="B972" s="125"/>
      <c r="C972" s="125"/>
      <c r="D972" s="125"/>
      <c r="E972" s="125"/>
      <c r="G972" s="9"/>
      <c r="H972" s="9"/>
      <c r="I972" s="9"/>
      <c r="J972" s="9"/>
      <c r="K972" s="9"/>
      <c r="L972" s="9"/>
      <c r="M972" s="32"/>
      <c r="N972" s="9"/>
      <c r="O972" s="9"/>
      <c r="P972" s="9"/>
      <c r="Q972" s="9"/>
      <c r="R972" s="9"/>
    </row>
    <row r="973">
      <c r="B973" s="125"/>
      <c r="C973" s="125"/>
      <c r="D973" s="125"/>
      <c r="E973" s="125"/>
      <c r="G973" s="9"/>
      <c r="H973" s="9"/>
      <c r="I973" s="9"/>
      <c r="J973" s="9"/>
      <c r="K973" s="9"/>
      <c r="L973" s="9"/>
      <c r="M973" s="32"/>
      <c r="N973" s="9"/>
      <c r="O973" s="9"/>
      <c r="P973" s="9"/>
      <c r="Q973" s="9"/>
      <c r="R973" s="9"/>
    </row>
    <row r="974">
      <c r="B974" s="125"/>
      <c r="C974" s="125"/>
      <c r="D974" s="125"/>
      <c r="E974" s="125"/>
      <c r="G974" s="9"/>
      <c r="H974" s="9"/>
      <c r="I974" s="9"/>
      <c r="J974" s="9"/>
      <c r="K974" s="9"/>
      <c r="L974" s="9"/>
      <c r="M974" s="32"/>
      <c r="N974" s="9"/>
      <c r="O974" s="9"/>
      <c r="P974" s="9"/>
      <c r="Q974" s="9"/>
      <c r="R974" s="9"/>
    </row>
    <row r="975">
      <c r="B975" s="125"/>
      <c r="C975" s="125"/>
      <c r="D975" s="125"/>
      <c r="E975" s="125"/>
      <c r="G975" s="9"/>
      <c r="H975" s="9"/>
      <c r="I975" s="9"/>
      <c r="J975" s="9"/>
      <c r="K975" s="9"/>
      <c r="L975" s="9"/>
      <c r="M975" s="32"/>
      <c r="N975" s="9"/>
      <c r="O975" s="9"/>
      <c r="P975" s="9"/>
      <c r="Q975" s="9"/>
      <c r="R975" s="9"/>
    </row>
    <row r="976">
      <c r="B976" s="125"/>
      <c r="C976" s="125"/>
      <c r="D976" s="125"/>
      <c r="E976" s="125"/>
      <c r="G976" s="9"/>
      <c r="H976" s="9"/>
      <c r="I976" s="9"/>
      <c r="J976" s="9"/>
      <c r="K976" s="9"/>
      <c r="L976" s="9"/>
      <c r="M976" s="32"/>
      <c r="N976" s="9"/>
      <c r="O976" s="9"/>
      <c r="P976" s="9"/>
      <c r="Q976" s="9"/>
      <c r="R976" s="9"/>
    </row>
    <row r="977">
      <c r="B977" s="125"/>
      <c r="C977" s="125"/>
      <c r="D977" s="125"/>
      <c r="E977" s="125"/>
      <c r="G977" s="9"/>
      <c r="H977" s="9"/>
      <c r="I977" s="9"/>
      <c r="J977" s="9"/>
      <c r="K977" s="9"/>
      <c r="L977" s="9"/>
      <c r="M977" s="32"/>
      <c r="N977" s="9"/>
      <c r="O977" s="9"/>
      <c r="P977" s="9"/>
      <c r="Q977" s="9"/>
      <c r="R977" s="9"/>
    </row>
    <row r="978">
      <c r="B978" s="125"/>
      <c r="C978" s="125"/>
      <c r="D978" s="125"/>
      <c r="E978" s="125"/>
      <c r="G978" s="9"/>
      <c r="H978" s="9"/>
      <c r="I978" s="9"/>
      <c r="J978" s="9"/>
      <c r="K978" s="9"/>
      <c r="L978" s="9"/>
      <c r="M978" s="32"/>
      <c r="N978" s="9"/>
      <c r="O978" s="9"/>
      <c r="P978" s="9"/>
      <c r="Q978" s="9"/>
      <c r="R978" s="9"/>
    </row>
    <row r="979">
      <c r="B979" s="125"/>
      <c r="C979" s="125"/>
      <c r="D979" s="125"/>
      <c r="E979" s="125"/>
      <c r="G979" s="9"/>
      <c r="H979" s="9"/>
      <c r="I979" s="9"/>
      <c r="J979" s="9"/>
      <c r="K979" s="9"/>
      <c r="L979" s="9"/>
      <c r="M979" s="32"/>
      <c r="N979" s="9"/>
      <c r="O979" s="9"/>
      <c r="P979" s="9"/>
      <c r="Q979" s="9"/>
      <c r="R979" s="9"/>
    </row>
    <row r="980">
      <c r="B980" s="125"/>
      <c r="C980" s="125"/>
      <c r="D980" s="125"/>
      <c r="E980" s="125"/>
      <c r="G980" s="9"/>
      <c r="H980" s="9"/>
      <c r="I980" s="9"/>
      <c r="J980" s="9"/>
      <c r="K980" s="9"/>
      <c r="L980" s="9"/>
      <c r="M980" s="32"/>
      <c r="N980" s="9"/>
      <c r="O980" s="9"/>
      <c r="P980" s="9"/>
      <c r="Q980" s="9"/>
      <c r="R980" s="9"/>
    </row>
    <row r="981">
      <c r="B981" s="125"/>
      <c r="C981" s="125"/>
      <c r="D981" s="125"/>
      <c r="E981" s="125"/>
      <c r="G981" s="9"/>
      <c r="H981" s="9"/>
      <c r="I981" s="9"/>
      <c r="J981" s="9"/>
      <c r="K981" s="9"/>
      <c r="L981" s="9"/>
      <c r="M981" s="32"/>
      <c r="N981" s="9"/>
      <c r="O981" s="9"/>
      <c r="P981" s="9"/>
      <c r="Q981" s="9"/>
      <c r="R981" s="9"/>
    </row>
    <row r="982">
      <c r="B982" s="125"/>
      <c r="C982" s="125"/>
      <c r="D982" s="125"/>
      <c r="E982" s="125"/>
      <c r="G982" s="9"/>
      <c r="H982" s="9"/>
      <c r="I982" s="9"/>
      <c r="J982" s="9"/>
      <c r="K982" s="9"/>
      <c r="L982" s="9"/>
      <c r="M982" s="32"/>
      <c r="N982" s="9"/>
      <c r="O982" s="9"/>
      <c r="P982" s="9"/>
      <c r="Q982" s="9"/>
      <c r="R982" s="9"/>
    </row>
    <row r="983">
      <c r="B983" s="125"/>
      <c r="C983" s="125"/>
      <c r="D983" s="125"/>
      <c r="E983" s="125"/>
      <c r="G983" s="9"/>
      <c r="H983" s="9"/>
      <c r="I983" s="9"/>
      <c r="J983" s="9"/>
      <c r="K983" s="9"/>
      <c r="L983" s="9"/>
      <c r="M983" s="32"/>
      <c r="N983" s="9"/>
      <c r="O983" s="9"/>
      <c r="P983" s="9"/>
      <c r="Q983" s="9"/>
      <c r="R983" s="9"/>
    </row>
    <row r="984">
      <c r="B984" s="125"/>
      <c r="C984" s="125"/>
      <c r="D984" s="125"/>
      <c r="E984" s="125"/>
      <c r="G984" s="9"/>
      <c r="H984" s="9"/>
      <c r="I984" s="9"/>
      <c r="J984" s="9"/>
      <c r="K984" s="9"/>
      <c r="L984" s="9"/>
      <c r="M984" s="32"/>
      <c r="N984" s="9"/>
      <c r="O984" s="9"/>
      <c r="P984" s="9"/>
      <c r="Q984" s="9"/>
      <c r="R984" s="9"/>
    </row>
    <row r="985">
      <c r="B985" s="125"/>
      <c r="C985" s="125"/>
      <c r="D985" s="125"/>
      <c r="E985" s="125"/>
      <c r="G985" s="9"/>
      <c r="H985" s="9"/>
      <c r="I985" s="9"/>
      <c r="J985" s="9"/>
      <c r="K985" s="9"/>
      <c r="L985" s="9"/>
      <c r="M985" s="32"/>
      <c r="N985" s="9"/>
      <c r="O985" s="9"/>
      <c r="P985" s="9"/>
      <c r="Q985" s="9"/>
      <c r="R985" s="9"/>
    </row>
    <row r="986">
      <c r="B986" s="125"/>
      <c r="C986" s="125"/>
      <c r="D986" s="125"/>
      <c r="E986" s="125"/>
      <c r="G986" s="9"/>
      <c r="H986" s="9"/>
      <c r="I986" s="9"/>
      <c r="J986" s="9"/>
      <c r="K986" s="9"/>
      <c r="L986" s="9"/>
      <c r="M986" s="32"/>
      <c r="N986" s="9"/>
      <c r="O986" s="9"/>
      <c r="P986" s="9"/>
      <c r="Q986" s="9"/>
      <c r="R986" s="9"/>
    </row>
    <row r="987">
      <c r="B987" s="125"/>
      <c r="C987" s="125"/>
      <c r="D987" s="125"/>
      <c r="E987" s="125"/>
      <c r="G987" s="9"/>
      <c r="H987" s="9"/>
      <c r="I987" s="9"/>
      <c r="J987" s="9"/>
      <c r="K987" s="9"/>
      <c r="L987" s="9"/>
      <c r="M987" s="32"/>
      <c r="N987" s="9"/>
      <c r="O987" s="9"/>
      <c r="P987" s="9"/>
      <c r="Q987" s="9"/>
      <c r="R987" s="9"/>
    </row>
    <row r="988">
      <c r="B988" s="125"/>
      <c r="C988" s="125"/>
      <c r="D988" s="125"/>
      <c r="E988" s="125"/>
      <c r="G988" s="9"/>
      <c r="H988" s="9"/>
      <c r="I988" s="9"/>
      <c r="J988" s="9"/>
      <c r="K988" s="9"/>
      <c r="L988" s="9"/>
      <c r="M988" s="32"/>
      <c r="N988" s="9"/>
      <c r="O988" s="9"/>
      <c r="P988" s="9"/>
      <c r="Q988" s="9"/>
      <c r="R988" s="9"/>
    </row>
    <row r="989">
      <c r="B989" s="125"/>
      <c r="C989" s="125"/>
      <c r="D989" s="125"/>
      <c r="E989" s="125"/>
      <c r="G989" s="9"/>
      <c r="H989" s="9"/>
      <c r="I989" s="9"/>
      <c r="J989" s="9"/>
      <c r="K989" s="9"/>
      <c r="L989" s="9"/>
      <c r="M989" s="32"/>
      <c r="N989" s="9"/>
      <c r="O989" s="9"/>
      <c r="P989" s="9"/>
      <c r="Q989" s="9"/>
      <c r="R989" s="9"/>
    </row>
    <row r="990">
      <c r="B990" s="125"/>
      <c r="C990" s="125"/>
      <c r="D990" s="125"/>
      <c r="E990" s="125"/>
      <c r="G990" s="9"/>
      <c r="H990" s="9"/>
      <c r="I990" s="9"/>
      <c r="J990" s="9"/>
      <c r="K990" s="9"/>
      <c r="L990" s="9"/>
      <c r="M990" s="32"/>
      <c r="N990" s="9"/>
      <c r="O990" s="9"/>
      <c r="P990" s="9"/>
      <c r="Q990" s="9"/>
      <c r="R990" s="9"/>
    </row>
    <row r="991">
      <c r="B991" s="125"/>
      <c r="C991" s="125"/>
      <c r="D991" s="125"/>
      <c r="E991" s="125"/>
      <c r="G991" s="9"/>
      <c r="H991" s="9"/>
      <c r="I991" s="9"/>
      <c r="J991" s="9"/>
      <c r="K991" s="9"/>
      <c r="L991" s="9"/>
      <c r="M991" s="32"/>
      <c r="N991" s="9"/>
      <c r="O991" s="9"/>
      <c r="P991" s="9"/>
      <c r="Q991" s="9"/>
      <c r="R991" s="9"/>
    </row>
    <row r="992">
      <c r="B992" s="125"/>
      <c r="C992" s="125"/>
      <c r="D992" s="125"/>
      <c r="E992" s="125"/>
      <c r="G992" s="9"/>
      <c r="H992" s="9"/>
      <c r="I992" s="9"/>
      <c r="J992" s="9"/>
      <c r="K992" s="9"/>
      <c r="L992" s="9"/>
      <c r="M992" s="32"/>
      <c r="N992" s="9"/>
      <c r="O992" s="9"/>
      <c r="P992" s="9"/>
      <c r="Q992" s="9"/>
      <c r="R992" s="9"/>
    </row>
    <row r="993">
      <c r="B993" s="125"/>
      <c r="C993" s="125"/>
      <c r="D993" s="125"/>
      <c r="E993" s="125"/>
      <c r="G993" s="9"/>
      <c r="H993" s="9"/>
      <c r="I993" s="9"/>
      <c r="J993" s="9"/>
      <c r="K993" s="9"/>
      <c r="L993" s="9"/>
      <c r="M993" s="32"/>
      <c r="N993" s="9"/>
      <c r="O993" s="9"/>
      <c r="P993" s="9"/>
      <c r="Q993" s="9"/>
      <c r="R993" s="9"/>
    </row>
    <row r="994">
      <c r="B994" s="125"/>
      <c r="C994" s="125"/>
      <c r="D994" s="125"/>
      <c r="E994" s="125"/>
      <c r="G994" s="9"/>
      <c r="H994" s="9"/>
      <c r="I994" s="9"/>
      <c r="J994" s="9"/>
      <c r="K994" s="9"/>
      <c r="L994" s="9"/>
      <c r="M994" s="32"/>
      <c r="N994" s="9"/>
      <c r="O994" s="9"/>
      <c r="P994" s="9"/>
      <c r="Q994" s="9"/>
      <c r="R994" s="9"/>
    </row>
    <row r="995">
      <c r="B995" s="125"/>
      <c r="C995" s="125"/>
      <c r="D995" s="125"/>
      <c r="E995" s="125"/>
      <c r="G995" s="9"/>
      <c r="H995" s="9"/>
      <c r="I995" s="9"/>
      <c r="J995" s="9"/>
      <c r="K995" s="9"/>
      <c r="L995" s="9"/>
      <c r="M995" s="32"/>
      <c r="N995" s="9"/>
      <c r="O995" s="9"/>
      <c r="P995" s="9"/>
      <c r="Q995" s="9"/>
      <c r="R995" s="9"/>
    </row>
    <row r="996">
      <c r="B996" s="125"/>
      <c r="C996" s="125"/>
      <c r="D996" s="125"/>
      <c r="E996" s="125"/>
      <c r="G996" s="9"/>
      <c r="H996" s="9"/>
      <c r="I996" s="9"/>
      <c r="J996" s="9"/>
      <c r="K996" s="9"/>
      <c r="L996" s="9"/>
      <c r="M996" s="32"/>
      <c r="N996" s="9"/>
      <c r="O996" s="9"/>
      <c r="P996" s="9"/>
      <c r="Q996" s="9"/>
      <c r="R996" s="9"/>
    </row>
    <row r="997">
      <c r="B997" s="125"/>
      <c r="C997" s="125"/>
      <c r="D997" s="125"/>
      <c r="E997" s="125"/>
      <c r="G997" s="9"/>
      <c r="H997" s="9"/>
      <c r="I997" s="9"/>
      <c r="J997" s="9"/>
      <c r="K997" s="9"/>
      <c r="L997" s="9"/>
      <c r="M997" s="32"/>
      <c r="N997" s="9"/>
      <c r="O997" s="9"/>
      <c r="P997" s="9"/>
      <c r="Q997" s="9"/>
      <c r="R997" s="9"/>
    </row>
    <row r="998">
      <c r="B998" s="125"/>
      <c r="C998" s="125"/>
      <c r="D998" s="125"/>
      <c r="E998" s="125"/>
      <c r="G998" s="9"/>
      <c r="H998" s="9"/>
      <c r="I998" s="9"/>
      <c r="J998" s="9"/>
      <c r="K998" s="9"/>
      <c r="L998" s="9"/>
      <c r="M998" s="32"/>
      <c r="N998" s="9"/>
      <c r="O998" s="9"/>
      <c r="P998" s="9"/>
      <c r="Q998" s="9"/>
      <c r="R998" s="9"/>
    </row>
    <row r="999">
      <c r="B999" s="125"/>
      <c r="C999" s="125"/>
      <c r="D999" s="125"/>
      <c r="E999" s="125"/>
      <c r="G999" s="9"/>
      <c r="H999" s="9"/>
      <c r="I999" s="9"/>
      <c r="J999" s="9"/>
      <c r="K999" s="9"/>
      <c r="L999" s="9"/>
      <c r="M999" s="32"/>
      <c r="N999" s="9"/>
      <c r="O999" s="9"/>
      <c r="P999" s="9"/>
      <c r="Q999" s="9"/>
      <c r="R999" s="9"/>
    </row>
    <row r="1000">
      <c r="B1000" s="125"/>
      <c r="C1000" s="125"/>
      <c r="D1000" s="125"/>
      <c r="E1000" s="125"/>
      <c r="G1000" s="9"/>
      <c r="H1000" s="9"/>
      <c r="I1000" s="9"/>
      <c r="J1000" s="9"/>
      <c r="K1000" s="9"/>
      <c r="L1000" s="9"/>
      <c r="M1000" s="32"/>
      <c r="N1000" s="9"/>
      <c r="O1000" s="9"/>
      <c r="P1000" s="9"/>
      <c r="Q1000" s="9"/>
      <c r="R1000" s="9"/>
    </row>
  </sheetData>
  <dataValidations>
    <dataValidation type="list" allowBlank="1" showErrorMessage="1" sqref="B2:E80 B501:E1000">
      <formula1>Classifica!$B$2:$B$14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18</v>
      </c>
      <c r="B1" s="6" t="s">
        <v>19</v>
      </c>
      <c r="C1" s="8" t="s">
        <v>24</v>
      </c>
      <c r="D1" s="6" t="s">
        <v>25</v>
      </c>
      <c r="E1" s="6" t="s">
        <v>26</v>
      </c>
      <c r="F1" s="6" t="s">
        <v>27</v>
      </c>
    </row>
    <row r="2" ht="22.5" customHeight="1">
      <c r="A2" s="1">
        <v>1.0</v>
      </c>
      <c r="B2" s="11" t="s">
        <v>22</v>
      </c>
      <c r="C2" s="14">
        <f>IFERROR(__xludf.DUMMYFUNCTION("XLOOKUP(B2, FLATTEN(Partite!B$2:E1000), FLATTEN(Partite!O$2:R1000), 500, 0, -1)"),616.0)</f>
        <v>616</v>
      </c>
      <c r="D2" s="19">
        <f>COUNTIF(Partite!B$2:E1000, B2)</f>
        <v>30</v>
      </c>
      <c r="E2" s="19">
        <f>SUMPRODUCT(((Partite!B$2:B1000=B2)+(Partite!C$2:C1000=B2))*(Partite!F$2:F1000=1) + ((Partite!D$2:D1000=B2)+(Partite!E$2:E1000=B2))*(Partite!F$2:F1000=2))</f>
        <v>19</v>
      </c>
      <c r="F2" s="19">
        <f t="shared" ref="F2:F14" si="1">D2 - E2</f>
        <v>11</v>
      </c>
    </row>
    <row r="3" ht="22.5" customHeight="1">
      <c r="A3" s="1">
        <v>2.0</v>
      </c>
      <c r="B3" s="11" t="s">
        <v>23</v>
      </c>
      <c r="C3" s="14">
        <f>IFERROR(__xludf.DUMMYFUNCTION("XLOOKUP(B3, FLATTEN(Partite!B$2:E1000), FLATTEN(Partite!O$2:R1000), 500, 0, -1)"),608.0)</f>
        <v>608</v>
      </c>
      <c r="D3" s="19">
        <f>COUNTIF(Partite!B$2:E1000, B3)</f>
        <v>45</v>
      </c>
      <c r="E3" s="19">
        <f>SUMPRODUCT(((Partite!B$2:B1000=B3)+(Partite!C$2:C1000=B3))*(Partite!F$2:F1000=1) + ((Partite!D$2:D1000=B3)+(Partite!E$2:E1000=B3))*(Partite!F$2:F1000=2))</f>
        <v>25</v>
      </c>
      <c r="F3" s="19">
        <f t="shared" si="1"/>
        <v>20</v>
      </c>
    </row>
    <row r="4" ht="22.5" customHeight="1">
      <c r="A4" s="1">
        <v>3.0</v>
      </c>
      <c r="B4" s="11" t="s">
        <v>47</v>
      </c>
      <c r="C4" s="14">
        <f>IFERROR(__xludf.DUMMYFUNCTION("XLOOKUP(B4, FLATTEN(Partite!B$2:E1000), FLATTEN(Partite!O$2:R1000), 500, 0, -1)"),591.0)</f>
        <v>591</v>
      </c>
      <c r="D4" s="19">
        <f>COUNTIF(Partite!B$2:E1000, B4)</f>
        <v>21</v>
      </c>
      <c r="E4" s="19">
        <f>SUMPRODUCT(((Partite!B$2:B1000=B4)+(Partite!C$2:C1000=B4))*(Partite!F$2:F1000=1) + ((Partite!D$2:D1000=B4)+(Partite!E$2:E1000=B4))*(Partite!F$2:F1000=2))</f>
        <v>12</v>
      </c>
      <c r="F4" s="19">
        <f t="shared" si="1"/>
        <v>9</v>
      </c>
    </row>
    <row r="5" ht="22.5" customHeight="1">
      <c r="A5" s="1">
        <v>4.0</v>
      </c>
      <c r="B5" s="11" t="s">
        <v>48</v>
      </c>
      <c r="C5" s="14">
        <f>IFERROR(__xludf.DUMMYFUNCTION("XLOOKUP(B5, FLATTEN(Partite!B$2:E1000), FLATTEN(Partite!O$2:R1000), 500, 0, -1)"),582.0)</f>
        <v>582</v>
      </c>
      <c r="D5" s="19">
        <f>COUNTIF(Partite!B$2:E1000, B5)</f>
        <v>45</v>
      </c>
      <c r="E5" s="19">
        <f>SUMPRODUCT(((Partite!B$2:B1000=B5)+(Partite!C$2:C1000=B5))*(Partite!F$2:F1000=1) + ((Partite!D$2:D1000=B5)+(Partite!E$2:E1000=B5))*(Partite!F$2:F1000=2))</f>
        <v>22</v>
      </c>
      <c r="F5" s="19">
        <f t="shared" si="1"/>
        <v>23</v>
      </c>
    </row>
    <row r="6" ht="22.5" customHeight="1">
      <c r="A6" s="1">
        <v>5.0</v>
      </c>
      <c r="B6" s="11" t="s">
        <v>50</v>
      </c>
      <c r="C6" s="14">
        <f>IFERROR(__xludf.DUMMYFUNCTION("XLOOKUP(B6, FLATTEN(Partite!B$2:E1000), FLATTEN(Partite!O$2:R1000), 500, 0, -1)"),563.0)</f>
        <v>563</v>
      </c>
      <c r="D6" s="19">
        <f>COUNTIF(Partite!B$2:E1000, B6)</f>
        <v>7</v>
      </c>
      <c r="E6" s="19">
        <f>SUMPRODUCT(((Partite!B$2:B1000=B6)+(Partite!C$2:C1000=B6))*(Partite!F$2:F1000=1) + ((Partite!D$2:D1000=B6)+(Partite!E$2:E1000=B6))*(Partite!F$2:F1000=2))</f>
        <v>4</v>
      </c>
      <c r="F6" s="19">
        <f t="shared" si="1"/>
        <v>3</v>
      </c>
    </row>
    <row r="7" ht="22.5" customHeight="1">
      <c r="A7" s="1">
        <v>6.0</v>
      </c>
      <c r="B7" s="11" t="s">
        <v>21</v>
      </c>
      <c r="C7" s="14">
        <f>IFERROR(__xludf.DUMMYFUNCTION("XLOOKUP(B7, FLATTEN(Partite!B$2:E1000), FLATTEN(Partite!O$2:R1000), 500, 0, -1)"),534.0)</f>
        <v>534</v>
      </c>
      <c r="D7" s="19">
        <f>COUNTIF(Partite!B$2:E1000, B7)</f>
        <v>50</v>
      </c>
      <c r="E7" s="19">
        <f>SUMPRODUCT(((Partite!B$2:B1000=B7)+(Partite!C$2:C1000=B7))*(Partite!F$2:F1000=1) + ((Partite!D$2:D1000=B7)+(Partite!E$2:E1000=B7))*(Partite!F$2:F1000=2))</f>
        <v>24</v>
      </c>
      <c r="F7" s="19">
        <f t="shared" si="1"/>
        <v>26</v>
      </c>
    </row>
    <row r="8" ht="22.5" customHeight="1">
      <c r="A8" s="1">
        <v>7.0</v>
      </c>
      <c r="B8" s="11" t="s">
        <v>57</v>
      </c>
      <c r="C8" s="14">
        <f>IFERROR(__xludf.DUMMYFUNCTION("XLOOKUP(B8, FLATTEN(Partite!B$2:E1000), FLATTEN(Partite!O$2:R1000), 500, 0, -1)"),528.0)</f>
        <v>528</v>
      </c>
      <c r="D8" s="19">
        <f>COUNTIF(Partite!B$2:E1000, B8)</f>
        <v>29</v>
      </c>
      <c r="E8" s="19">
        <f>SUMPRODUCT(((Partite!B$2:B1000=B8)+(Partite!C$2:C1000=B8))*(Partite!F$2:F1000=1) + ((Partite!D$2:D1000=B8)+(Partite!E$2:E1000=B8))*(Partite!F$2:F1000=2))</f>
        <v>16</v>
      </c>
      <c r="F8" s="19">
        <f t="shared" si="1"/>
        <v>13</v>
      </c>
    </row>
    <row r="9" ht="22.5" customHeight="1">
      <c r="A9" s="1">
        <v>8.0</v>
      </c>
      <c r="B9" s="11" t="s">
        <v>60</v>
      </c>
      <c r="C9" s="14">
        <f>IFERROR(__xludf.DUMMYFUNCTION("XLOOKUP(B9, FLATTEN(Partite!B$2:E1000), FLATTEN(Partite!O$2:R1000), 500, 0, -1)"),525.0)</f>
        <v>525</v>
      </c>
      <c r="D9" s="19">
        <f>COUNTIF(Partite!B$2:E1000, B9)</f>
        <v>7</v>
      </c>
      <c r="E9" s="19">
        <f>SUMPRODUCT(((Partite!B$2:B1000=B9)+(Partite!C$2:C1000=B9))*(Partite!F$2:F1000=1) + ((Partite!D$2:D1000=B9)+(Partite!E$2:E1000=B9))*(Partite!F$2:F1000=2))</f>
        <v>4</v>
      </c>
      <c r="F9" s="19">
        <f t="shared" si="1"/>
        <v>3</v>
      </c>
    </row>
    <row r="10" ht="22.5" customHeight="1">
      <c r="A10" s="1">
        <v>9.0</v>
      </c>
      <c r="B10" s="11" t="s">
        <v>68</v>
      </c>
      <c r="C10" s="14">
        <f>IFERROR(__xludf.DUMMYFUNCTION("XLOOKUP(B10, FLATTEN(Partite!B$2:E1000), FLATTEN(Partite!O$2:R1000), 500, 0, -1)"),504.0)</f>
        <v>504</v>
      </c>
      <c r="D10" s="19">
        <f>COUNTIF(Partite!B$2:E1000, B10)</f>
        <v>6</v>
      </c>
      <c r="E10" s="19">
        <f>SUMPRODUCT(((Partite!B$2:B1000=B10)+(Partite!C$2:C1000=B10))*(Partite!F$2:F1000=1) + ((Partite!D$2:D1000=B10)+(Partite!E$2:E1000=B10))*(Partite!F$2:F1000=2))</f>
        <v>3</v>
      </c>
      <c r="F10" s="19">
        <f t="shared" si="1"/>
        <v>3</v>
      </c>
    </row>
    <row r="11" ht="22.5" customHeight="1">
      <c r="A11" s="1">
        <v>10.0</v>
      </c>
      <c r="B11" s="11" t="s">
        <v>59</v>
      </c>
      <c r="C11" s="14">
        <f>IFERROR(__xludf.DUMMYFUNCTION("XLOOKUP(B11, FLATTEN(Partite!B$2:E1000), FLATTEN(Partite!O$2:R1000), 500, 0, -1)"),484.0)</f>
        <v>484</v>
      </c>
      <c r="D11" s="19">
        <f>COUNTIF(Partite!B$2:E1000, B11)</f>
        <v>24</v>
      </c>
      <c r="E11" s="19">
        <f>SUMPRODUCT(((Partite!B$2:B1000=B11)+(Partite!C$2:C1000=B11))*(Partite!F$2:F1000=1) + ((Partite!D$2:D1000=B11)+(Partite!E$2:E1000=B11))*(Partite!F$2:F1000=2))</f>
        <v>11</v>
      </c>
      <c r="F11" s="19">
        <f t="shared" si="1"/>
        <v>13</v>
      </c>
    </row>
    <row r="12" ht="22.5" customHeight="1">
      <c r="A12" s="1">
        <v>11.0</v>
      </c>
      <c r="B12" s="11" t="s">
        <v>72</v>
      </c>
      <c r="C12" s="14">
        <f>IFERROR(__xludf.DUMMYFUNCTION("XLOOKUP(B12, FLATTEN(Partite!B$2:E1000), FLATTEN(Partite!O$2:R1000), 500, 0, -1)"),482.0)</f>
        <v>482</v>
      </c>
      <c r="D12" s="19">
        <f>COUNTIF(Partite!B$2:E1000, B12)</f>
        <v>8</v>
      </c>
      <c r="E12" s="19">
        <f>SUMPRODUCT(((Partite!B$2:B1000=B12)+(Partite!C$2:C1000=B12))*(Partite!F$2:F1000=1) + ((Partite!D$2:D1000=B12)+(Partite!E$2:E1000=B12))*(Partite!F$2:F1000=2))</f>
        <v>3</v>
      </c>
      <c r="F12" s="19">
        <f t="shared" si="1"/>
        <v>5</v>
      </c>
    </row>
    <row r="13" ht="22.5" customHeight="1">
      <c r="A13" s="1">
        <v>12.0</v>
      </c>
      <c r="B13" s="11" t="s">
        <v>75</v>
      </c>
      <c r="C13" s="14">
        <f>IFERROR(__xludf.DUMMYFUNCTION("XLOOKUP(B13, FLATTEN(Partite!B$2:E1000), FLATTEN(Partite!O$2:R1000), 500, 0, -1)"),459.0)</f>
        <v>459</v>
      </c>
      <c r="D13" s="19">
        <f>COUNTIF(Partite!B$2:E1000, B13)</f>
        <v>5</v>
      </c>
      <c r="E13" s="19">
        <f>SUMPRODUCT(((Partite!B$2:B1000=B13)+(Partite!C$2:C1000=B13))*(Partite!F$2:F1000=1) + ((Partite!D$2:D1000=B13)+(Partite!E$2:E1000=B13))*(Partite!F$2:F1000=2))</f>
        <v>1</v>
      </c>
      <c r="F13" s="19">
        <f t="shared" si="1"/>
        <v>4</v>
      </c>
    </row>
    <row r="14" ht="22.5" customHeight="1">
      <c r="A14" s="1">
        <v>13.0</v>
      </c>
      <c r="B14" s="11" t="s">
        <v>20</v>
      </c>
      <c r="C14" s="14">
        <f>IFERROR(__xludf.DUMMYFUNCTION("XLOOKUP(B14, FLATTEN(Partite!B$2:E1000), FLATTEN(Partite!O$2:R1000), 500, 0, -1)"),455.0)</f>
        <v>455</v>
      </c>
      <c r="D14" s="19">
        <f>COUNTIF(Partite!B$2:E1000, B14)</f>
        <v>39</v>
      </c>
      <c r="E14" s="19">
        <f>SUMPRODUCT(((Partite!B$2:B1000=B14)+(Partite!C$2:C1000=B14))*(Partite!F$2:F1000=1) + ((Partite!D$2:D1000=B14)+(Partite!E$2:E1000=B14))*(Partite!F$2:F1000=2))</f>
        <v>14</v>
      </c>
      <c r="F14" s="19">
        <f t="shared" si="1"/>
        <v>25</v>
      </c>
    </row>
    <row r="15">
      <c r="C15" s="9"/>
    </row>
    <row r="16">
      <c r="C16" s="9"/>
    </row>
    <row r="17">
      <c r="C17" s="9"/>
    </row>
    <row r="18">
      <c r="C18" s="9"/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ataValidations>
    <dataValidation type="custom" allowBlank="1" showDropDown="1" sqref="C2:C1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